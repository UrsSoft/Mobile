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8_{3F435B0B-080E-4C30-8A9C-E3E52A05F5C7}" xr6:coauthVersionLast="47" xr6:coauthVersionMax="47" xr10:uidLastSave="{00000000-0000-0000-0000-000000000000}"/>
  <bookViews>
    <workbookView xWindow="-120" yWindow="-120" windowWidth="29040" windowHeight="15720" tabRatio="736" activeTab="1" xr2:uid="{CC6A75A5-02CA-4D0C-9812-7EDAB321D873}"/>
  </bookViews>
  <sheets>
    <sheet name="İCMAL" sheetId="1" r:id="rId1"/>
    <sheet name="KEŞİF LİSTESİ"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NA()</definedName>
    <definedName name="_____AGK1">#N/A</definedName>
    <definedName name="_____AGK1_1">#N/A</definedName>
    <definedName name="_____AGK1_1_1">#N/A</definedName>
    <definedName name="_____AGK1_1_1_1">#N/A</definedName>
    <definedName name="_____AGK1_1_1_1_1">#N/A</definedName>
    <definedName name="_____AGK1_1_1_1_1_1">#N/A</definedName>
    <definedName name="_____AGK1_1_1_2">#N/A</definedName>
    <definedName name="_____AGK1_1_2">#N/A</definedName>
    <definedName name="_____AGK1_1_2_1">#N/A</definedName>
    <definedName name="_____AGK1_1_2_1_1">#N/A</definedName>
    <definedName name="_____AGK1_1_2_2">#N/A</definedName>
    <definedName name="_____AGK1_1_3">#N/A</definedName>
    <definedName name="_____AGK1_1_3_1">#N/A</definedName>
    <definedName name="_____AGK1_1_3_2">#N/A</definedName>
    <definedName name="_____AGK1_1_4">#N/A</definedName>
    <definedName name="_____AGK1_1_4_1">#N/A</definedName>
    <definedName name="_____AGK1_1_4_2">#N/A</definedName>
    <definedName name="_____AGK1_1_5">#N/A</definedName>
    <definedName name="_____AGK1_1_5_1">#N/A</definedName>
    <definedName name="_____AGK1_1_5_2">#N/A</definedName>
    <definedName name="_____AGK1_1_6">#N/A</definedName>
    <definedName name="_____AGK1_1_6_1">#N/A</definedName>
    <definedName name="_____AGK1_1_6_2">#N/A</definedName>
    <definedName name="_____AGK1_1_7">#N/A</definedName>
    <definedName name="_____AGK1_1_7_1">#N/A</definedName>
    <definedName name="_____AGK1_1_7_2">#N/A</definedName>
    <definedName name="_____AGK1_2">#N/A</definedName>
    <definedName name="_____AGK1_2_1">#N/A</definedName>
    <definedName name="_____AGK1_2_1_1">#N/A</definedName>
    <definedName name="_____AGK1_2_2">#N/A</definedName>
    <definedName name="_____AGK1_3">#N/A</definedName>
    <definedName name="_____AGK1_3_1">#N/A</definedName>
    <definedName name="_____AGK1_3_2">#N/A</definedName>
    <definedName name="_____AGK1_4">#N/A</definedName>
    <definedName name="_____AGK1_4_1">#N/A</definedName>
    <definedName name="_____AGK1_4_2">#N/A</definedName>
    <definedName name="_____AGK1_5">#N/A</definedName>
    <definedName name="_____AGK1_5_1">#N/A</definedName>
    <definedName name="_____AGK1_5_2">#N/A</definedName>
    <definedName name="_____AGK1_6">#N/A</definedName>
    <definedName name="_____AGK1_6_1">#N/A</definedName>
    <definedName name="_____AGK1_6_2">#N/A</definedName>
    <definedName name="_____AGK1_7">#N/A</definedName>
    <definedName name="_____AGK1_7_1">#N/A</definedName>
    <definedName name="_____AGK1_7_2">#N/A</definedName>
    <definedName name="_____AGK2">#N/A</definedName>
    <definedName name="_____AGK2_1">#N/A</definedName>
    <definedName name="_____AGK2_1_1">#N/A</definedName>
    <definedName name="_____AGK2_1_1_1">#N/A</definedName>
    <definedName name="_____AGK2_1_1_1_1">#N/A</definedName>
    <definedName name="_____AGK2_1_1_1_1_1">#N/A</definedName>
    <definedName name="_____AGK2_1_1_2">#N/A</definedName>
    <definedName name="_____AGK2_1_2">#N/A</definedName>
    <definedName name="_____AGK2_1_2_1">#N/A</definedName>
    <definedName name="_____AGK2_1_2_1_1">#N/A</definedName>
    <definedName name="_____AGK2_1_2_2">#N/A</definedName>
    <definedName name="_____AGK2_1_3">#N/A</definedName>
    <definedName name="_____AGK2_1_3_1">#N/A</definedName>
    <definedName name="_____AGK2_1_3_2">#N/A</definedName>
    <definedName name="_____AGK2_1_4">#N/A</definedName>
    <definedName name="_____AGK2_1_4_1">#N/A</definedName>
    <definedName name="_____AGK2_1_4_2">#N/A</definedName>
    <definedName name="_____AGK2_1_5">#N/A</definedName>
    <definedName name="_____AGK2_1_5_1">#N/A</definedName>
    <definedName name="_____AGK2_1_5_2">#N/A</definedName>
    <definedName name="_____AGK2_1_6">#N/A</definedName>
    <definedName name="_____AGK2_1_6_1">#N/A</definedName>
    <definedName name="_____AGK2_1_6_2">#N/A</definedName>
    <definedName name="_____AGK2_1_7">#N/A</definedName>
    <definedName name="_____AGK2_1_7_1">#N/A</definedName>
    <definedName name="_____AGK2_1_7_2">#N/A</definedName>
    <definedName name="_____AGK2_2">#N/A</definedName>
    <definedName name="_____AGK2_2_1">#N/A</definedName>
    <definedName name="_____AGK2_2_1_1">#N/A</definedName>
    <definedName name="_____AGK2_2_2">#N/A</definedName>
    <definedName name="_____AGK2_3">#N/A</definedName>
    <definedName name="_____AGK2_3_1">#N/A</definedName>
    <definedName name="_____AGK2_3_2">#N/A</definedName>
    <definedName name="_____AGK2_4">#N/A</definedName>
    <definedName name="_____AGK2_4_1">#N/A</definedName>
    <definedName name="_____AGK2_4_2">#N/A</definedName>
    <definedName name="_____AGK2_5">#N/A</definedName>
    <definedName name="_____AGK2_5_1">#N/A</definedName>
    <definedName name="_____AGK2_5_2">#N/A</definedName>
    <definedName name="_____AGK2_6">#N/A</definedName>
    <definedName name="_____AGK2_6_1">#N/A</definedName>
    <definedName name="_____AGK2_6_2">#N/A</definedName>
    <definedName name="_____AGK2_7">#N/A</definedName>
    <definedName name="_____AGK2_7_1">#N/A</definedName>
    <definedName name="_____AGK2_7_2">#N/A</definedName>
    <definedName name="_____AGK3">#N/A</definedName>
    <definedName name="_____AGK3_1">#N/A</definedName>
    <definedName name="_____AGK3_1_1">#N/A</definedName>
    <definedName name="_____AGK3_1_1_1">#N/A</definedName>
    <definedName name="_____AGK3_1_1_1_1">#N/A</definedName>
    <definedName name="_____AGK3_1_1_1_1_1">#N/A</definedName>
    <definedName name="_____AGK3_1_1_2">#N/A</definedName>
    <definedName name="_____AGK3_1_2">#N/A</definedName>
    <definedName name="_____AGK3_1_2_1">#N/A</definedName>
    <definedName name="_____AGK3_1_2_1_1">#N/A</definedName>
    <definedName name="_____AGK3_1_2_2">#N/A</definedName>
    <definedName name="_____AGK3_1_3">#N/A</definedName>
    <definedName name="_____AGK3_1_3_1">#N/A</definedName>
    <definedName name="_____AGK3_1_3_2">#N/A</definedName>
    <definedName name="_____AGK3_1_4">#N/A</definedName>
    <definedName name="_____AGK3_1_4_1">#N/A</definedName>
    <definedName name="_____AGK3_1_4_2">#N/A</definedName>
    <definedName name="_____AGK3_1_5">#N/A</definedName>
    <definedName name="_____AGK3_1_5_1">#N/A</definedName>
    <definedName name="_____AGK3_1_5_2">#N/A</definedName>
    <definedName name="_____AGK3_1_6">#N/A</definedName>
    <definedName name="_____AGK3_1_6_1">#N/A</definedName>
    <definedName name="_____AGK3_1_6_2">#N/A</definedName>
    <definedName name="_____AGK3_1_7">#N/A</definedName>
    <definedName name="_____AGK3_1_7_1">#N/A</definedName>
    <definedName name="_____AGK3_1_7_2">#N/A</definedName>
    <definedName name="_____AGK3_2">#N/A</definedName>
    <definedName name="_____AGK3_2_1">#N/A</definedName>
    <definedName name="_____AGK3_2_1_1">#N/A</definedName>
    <definedName name="_____AGK3_2_2">#N/A</definedName>
    <definedName name="_____AGK3_3">#N/A</definedName>
    <definedName name="_____AGK3_3_1">#N/A</definedName>
    <definedName name="_____AGK3_3_2">#N/A</definedName>
    <definedName name="_____AGK3_4">#N/A</definedName>
    <definedName name="_____AGK3_4_1">#N/A</definedName>
    <definedName name="_____AGK3_4_2">#N/A</definedName>
    <definedName name="_____AGK3_5">#N/A</definedName>
    <definedName name="_____AGK3_5_1">#N/A</definedName>
    <definedName name="_____AGK3_5_2">#N/A</definedName>
    <definedName name="_____AGK3_6">#N/A</definedName>
    <definedName name="_____AGK3_6_1">#N/A</definedName>
    <definedName name="_____AGK3_6_2">#N/A</definedName>
    <definedName name="_____AGK3_7">#N/A</definedName>
    <definedName name="_____AGK3_7_1">#N/A</definedName>
    <definedName name="_____AGK3_7_2">#N/A</definedName>
    <definedName name="_____AGK4">#N/A</definedName>
    <definedName name="_____AGK4_1">#N/A</definedName>
    <definedName name="_____AGK4_1_1">#N/A</definedName>
    <definedName name="_____AGK4_1_1_1">#N/A</definedName>
    <definedName name="_____AGK4_1_1_1_1">#N/A</definedName>
    <definedName name="_____AGK4_1_1_1_1_1">#N/A</definedName>
    <definedName name="_____AGK4_1_1_2">#N/A</definedName>
    <definedName name="_____AGK4_1_2">#N/A</definedName>
    <definedName name="_____AGK4_1_2_1">#N/A</definedName>
    <definedName name="_____AGK4_1_2_1_1">#N/A</definedName>
    <definedName name="_____AGK4_1_2_2">#N/A</definedName>
    <definedName name="_____AGK4_1_3">#N/A</definedName>
    <definedName name="_____AGK4_1_3_1">#N/A</definedName>
    <definedName name="_____AGK4_1_3_2">#N/A</definedName>
    <definedName name="_____AGK4_1_4">#N/A</definedName>
    <definedName name="_____AGK4_1_4_1">#N/A</definedName>
    <definedName name="_____AGK4_1_4_2">#N/A</definedName>
    <definedName name="_____AGK4_1_5">#N/A</definedName>
    <definedName name="_____AGK4_1_5_1">#N/A</definedName>
    <definedName name="_____AGK4_1_5_2">#N/A</definedName>
    <definedName name="_____AGK4_1_6">#N/A</definedName>
    <definedName name="_____AGK4_1_6_1">#N/A</definedName>
    <definedName name="_____AGK4_1_6_2">#N/A</definedName>
    <definedName name="_____AGK4_1_7">#N/A</definedName>
    <definedName name="_____AGK4_1_7_1">#N/A</definedName>
    <definedName name="_____AGK4_1_7_2">#N/A</definedName>
    <definedName name="_____AGK4_2">#N/A</definedName>
    <definedName name="_____AGK4_2_1">#N/A</definedName>
    <definedName name="_____AGK4_2_1_1">#N/A</definedName>
    <definedName name="_____AGK4_2_2">#N/A</definedName>
    <definedName name="_____AGK4_3">#N/A</definedName>
    <definedName name="_____AGK4_3_1">#N/A</definedName>
    <definedName name="_____AGK4_3_2">#N/A</definedName>
    <definedName name="_____AGK4_4">#N/A</definedName>
    <definedName name="_____AGK4_4_1">#N/A</definedName>
    <definedName name="_____AGK4_4_2">#N/A</definedName>
    <definedName name="_____AGK4_5">#N/A</definedName>
    <definedName name="_____AGK4_5_1">#N/A</definedName>
    <definedName name="_____AGK4_5_2">#N/A</definedName>
    <definedName name="_____AGK4_6">#N/A</definedName>
    <definedName name="_____AGK4_6_1">#N/A</definedName>
    <definedName name="_____AGK4_6_2">#N/A</definedName>
    <definedName name="_____AGK4_7">#N/A</definedName>
    <definedName name="_____AGK4_7_1">#N/A</definedName>
    <definedName name="_____AGK4_7_2">#N/A</definedName>
    <definedName name="_____AGK5">#N/A</definedName>
    <definedName name="_____AGK5_1">#N/A</definedName>
    <definedName name="_____AGK5_1_1">#N/A</definedName>
    <definedName name="_____AGK5_1_1_1">#N/A</definedName>
    <definedName name="_____AGK5_1_1_1_1">#N/A</definedName>
    <definedName name="_____AGK5_1_1_1_1_1">#N/A</definedName>
    <definedName name="_____AGK5_1_1_2">#N/A</definedName>
    <definedName name="_____AGK5_1_2">#N/A</definedName>
    <definedName name="_____AGK5_1_2_1">#N/A</definedName>
    <definedName name="_____AGK5_1_2_1_1">#N/A</definedName>
    <definedName name="_____AGK5_1_2_2">#N/A</definedName>
    <definedName name="_____AGK5_1_3">#N/A</definedName>
    <definedName name="_____AGK5_1_3_1">#N/A</definedName>
    <definedName name="_____AGK5_1_3_2">#N/A</definedName>
    <definedName name="_____AGK5_1_4">#N/A</definedName>
    <definedName name="_____AGK5_1_4_1">#N/A</definedName>
    <definedName name="_____AGK5_1_4_2">#N/A</definedName>
    <definedName name="_____AGK5_1_5">#N/A</definedName>
    <definedName name="_____AGK5_1_5_1">#N/A</definedName>
    <definedName name="_____AGK5_1_5_2">#N/A</definedName>
    <definedName name="_____AGK5_1_6">#N/A</definedName>
    <definedName name="_____AGK5_1_6_1">#N/A</definedName>
    <definedName name="_____AGK5_1_6_2">#N/A</definedName>
    <definedName name="_____AGK5_1_7">#N/A</definedName>
    <definedName name="_____AGK5_1_7_1">#N/A</definedName>
    <definedName name="_____AGK5_1_7_2">#N/A</definedName>
    <definedName name="_____AGK5_2">#N/A</definedName>
    <definedName name="_____AGK5_2_1">#N/A</definedName>
    <definedName name="_____AGK5_2_1_1">#N/A</definedName>
    <definedName name="_____AGK5_2_2">#N/A</definedName>
    <definedName name="_____AGK5_3">#N/A</definedName>
    <definedName name="_____AGK5_3_1">#N/A</definedName>
    <definedName name="_____AGK5_3_2">#N/A</definedName>
    <definedName name="_____AGK5_4">#N/A</definedName>
    <definedName name="_____AGK5_4_1">#N/A</definedName>
    <definedName name="_____AGK5_4_2">#N/A</definedName>
    <definedName name="_____AGK5_5">#N/A</definedName>
    <definedName name="_____AGK5_5_1">#N/A</definedName>
    <definedName name="_____AGK5_5_2">#N/A</definedName>
    <definedName name="_____AGK5_6">#N/A</definedName>
    <definedName name="_____AGK5_6_1">#N/A</definedName>
    <definedName name="_____AGK5_6_2">#N/A</definedName>
    <definedName name="_____AGK5_7">#N/A</definedName>
    <definedName name="_____AGK5_7_1">#N/A</definedName>
    <definedName name="_____AGK5_7_2">#N/A</definedName>
    <definedName name="_____KBA1">#N/A</definedName>
    <definedName name="_____KBA1_1">#N/A</definedName>
    <definedName name="_____KBA1_1_1">#N/A</definedName>
    <definedName name="_____KBA1_1_1_1">#N/A</definedName>
    <definedName name="_____KBA1_1_1_1_1">#N/A</definedName>
    <definedName name="_____KBA1_1_1_1_1_1">#N/A</definedName>
    <definedName name="_____KBA1_1_1_2">#N/A</definedName>
    <definedName name="_____KBA1_1_2">#N/A</definedName>
    <definedName name="_____KBA1_1_2_1">#N/A</definedName>
    <definedName name="_____KBA1_1_2_1_1">#N/A</definedName>
    <definedName name="_____KBA1_1_2_2">#N/A</definedName>
    <definedName name="_____KBA1_1_3">#N/A</definedName>
    <definedName name="_____KBA1_1_3_1">#N/A</definedName>
    <definedName name="_____KBA1_1_3_2">#N/A</definedName>
    <definedName name="_____KBA1_1_4">#N/A</definedName>
    <definedName name="_____KBA1_1_4_1">#N/A</definedName>
    <definedName name="_____KBA1_1_4_2">#N/A</definedName>
    <definedName name="_____KBA1_1_5">#N/A</definedName>
    <definedName name="_____KBA1_1_5_1">#N/A</definedName>
    <definedName name="_____KBA1_1_5_2">#N/A</definedName>
    <definedName name="_____KBA1_1_6">#N/A</definedName>
    <definedName name="_____KBA1_1_6_1">#N/A</definedName>
    <definedName name="_____KBA1_1_6_2">#N/A</definedName>
    <definedName name="_____KBA1_1_7">#N/A</definedName>
    <definedName name="_____KBA1_1_7_1">#N/A</definedName>
    <definedName name="_____KBA1_1_7_2">#N/A</definedName>
    <definedName name="_____KBA1_2">#N/A</definedName>
    <definedName name="_____KBA1_2_1">#N/A</definedName>
    <definedName name="_____KBA1_2_1_1">#N/A</definedName>
    <definedName name="_____KBA1_2_2">#N/A</definedName>
    <definedName name="_____KBA1_3">#N/A</definedName>
    <definedName name="_____KBA1_3_1">#N/A</definedName>
    <definedName name="_____KBA1_3_2">#N/A</definedName>
    <definedName name="_____KBA1_4">#N/A</definedName>
    <definedName name="_____KBA1_4_1">#N/A</definedName>
    <definedName name="_____KBA1_4_2">#N/A</definedName>
    <definedName name="_____KBA1_5">#N/A</definedName>
    <definedName name="_____KBA1_5_1">#N/A</definedName>
    <definedName name="_____KBA1_5_2">#N/A</definedName>
    <definedName name="_____KBA1_6">#N/A</definedName>
    <definedName name="_____KBA1_6_1">#N/A</definedName>
    <definedName name="_____KBA1_6_2">#N/A</definedName>
    <definedName name="_____KBA1_7">#N/A</definedName>
    <definedName name="_____KBA1_7_1">#N/A</definedName>
    <definedName name="_____KBA1_7_2">#N/A</definedName>
    <definedName name="_____KBA2">#N/A</definedName>
    <definedName name="_____KBA2_1">#N/A</definedName>
    <definedName name="_____KBA2_1_1">#N/A</definedName>
    <definedName name="_____KBA2_1_1_1">#N/A</definedName>
    <definedName name="_____KBA2_1_1_1_1">#N/A</definedName>
    <definedName name="_____KBA2_1_1_1_1_1">#N/A</definedName>
    <definedName name="_____KBA2_1_1_2">#N/A</definedName>
    <definedName name="_____KBA2_1_2">#N/A</definedName>
    <definedName name="_____KBA2_1_2_1">#N/A</definedName>
    <definedName name="_____KBA2_1_2_1_1">#N/A</definedName>
    <definedName name="_____KBA2_1_2_2">#N/A</definedName>
    <definedName name="_____KBA2_1_3">#N/A</definedName>
    <definedName name="_____KBA2_1_3_1">#N/A</definedName>
    <definedName name="_____KBA2_1_3_2">#N/A</definedName>
    <definedName name="_____KBA2_1_4">#N/A</definedName>
    <definedName name="_____KBA2_1_4_1">#N/A</definedName>
    <definedName name="_____KBA2_1_4_2">#N/A</definedName>
    <definedName name="_____KBA2_1_5">#N/A</definedName>
    <definedName name="_____KBA2_1_5_1">#N/A</definedName>
    <definedName name="_____KBA2_1_5_2">#N/A</definedName>
    <definedName name="_____KBA2_1_6">#N/A</definedName>
    <definedName name="_____KBA2_1_6_1">#N/A</definedName>
    <definedName name="_____KBA2_1_6_2">#N/A</definedName>
    <definedName name="_____KBA2_1_7">#N/A</definedName>
    <definedName name="_____KBA2_1_7_1">#N/A</definedName>
    <definedName name="_____KBA2_1_7_2">#N/A</definedName>
    <definedName name="_____KBA2_2">#N/A</definedName>
    <definedName name="_____KBA2_2_1">#N/A</definedName>
    <definedName name="_____KBA2_2_1_1">#N/A</definedName>
    <definedName name="_____KBA2_2_2">#N/A</definedName>
    <definedName name="_____KBA2_3">#N/A</definedName>
    <definedName name="_____KBA2_3_1">#N/A</definedName>
    <definedName name="_____KBA2_3_2">#N/A</definedName>
    <definedName name="_____KBA2_4">#N/A</definedName>
    <definedName name="_____KBA2_4_1">#N/A</definedName>
    <definedName name="_____KBA2_4_2">#N/A</definedName>
    <definedName name="_____KBA2_5">#N/A</definedName>
    <definedName name="_____KBA2_5_1">#N/A</definedName>
    <definedName name="_____KBA2_5_2">#N/A</definedName>
    <definedName name="_____KBA2_6">#N/A</definedName>
    <definedName name="_____KBA2_6_1">#N/A</definedName>
    <definedName name="_____KBA2_6_2">#N/A</definedName>
    <definedName name="_____KBA2_7">#N/A</definedName>
    <definedName name="_____KBA2_7_1">#N/A</definedName>
    <definedName name="_____KBA2_7_2">#N/A</definedName>
    <definedName name="_____KR1">#N/A</definedName>
    <definedName name="_____KR1_1">#N/A</definedName>
    <definedName name="_____KR1_1_1">#N/A</definedName>
    <definedName name="_____KR1_1_1_1">#N/A</definedName>
    <definedName name="_____KR1_1_1_1_1">#N/A</definedName>
    <definedName name="_____KR1_1_1_1_1_1">#N/A</definedName>
    <definedName name="_____KR1_1_1_2">#N/A</definedName>
    <definedName name="_____KR1_1_2">#N/A</definedName>
    <definedName name="_____KR1_1_2_1">#N/A</definedName>
    <definedName name="_____KR1_1_2_1_1">#N/A</definedName>
    <definedName name="_____KR1_1_2_2">#N/A</definedName>
    <definedName name="_____KR1_1_3">#N/A</definedName>
    <definedName name="_____KR1_1_3_1">#N/A</definedName>
    <definedName name="_____KR1_1_3_2">#N/A</definedName>
    <definedName name="_____KR1_1_4">#N/A</definedName>
    <definedName name="_____KR1_1_4_1">#N/A</definedName>
    <definedName name="_____KR1_1_4_2">#N/A</definedName>
    <definedName name="_____KR1_1_5">#N/A</definedName>
    <definedName name="_____KR1_1_5_1">#N/A</definedName>
    <definedName name="_____KR1_1_5_2">#N/A</definedName>
    <definedName name="_____KR1_1_6">#N/A</definedName>
    <definedName name="_____KR1_1_6_1">#N/A</definedName>
    <definedName name="_____KR1_1_6_2">#N/A</definedName>
    <definedName name="_____KR1_1_7">#N/A</definedName>
    <definedName name="_____KR1_1_7_1">#N/A</definedName>
    <definedName name="_____KR1_1_7_2">#N/A</definedName>
    <definedName name="_____KR1_2">#N/A</definedName>
    <definedName name="_____KR1_2_1">#N/A</definedName>
    <definedName name="_____KR1_2_1_1">#N/A</definedName>
    <definedName name="_____KR1_2_2">#N/A</definedName>
    <definedName name="_____KR1_3">#N/A</definedName>
    <definedName name="_____KR1_3_1">#N/A</definedName>
    <definedName name="_____KR1_3_2">#N/A</definedName>
    <definedName name="_____KR1_4">#N/A</definedName>
    <definedName name="_____KR1_4_1">#N/A</definedName>
    <definedName name="_____KR1_4_2">#N/A</definedName>
    <definedName name="_____KR1_5">#N/A</definedName>
    <definedName name="_____KR1_5_1">#N/A</definedName>
    <definedName name="_____KR1_5_2">#N/A</definedName>
    <definedName name="_____KR1_6">#N/A</definedName>
    <definedName name="_____KR1_6_1">#N/A</definedName>
    <definedName name="_____KR1_6_2">#N/A</definedName>
    <definedName name="_____KR1_7">#N/A</definedName>
    <definedName name="_____KR1_7_1">#N/A</definedName>
    <definedName name="_____KR1_7_2">#N/A</definedName>
    <definedName name="_____KR2">#N/A</definedName>
    <definedName name="_____KR2_1">#N/A</definedName>
    <definedName name="_____KR2_1_1">#N/A</definedName>
    <definedName name="_____KR2_1_1_1">#N/A</definedName>
    <definedName name="_____KR2_1_1_1_1">#N/A</definedName>
    <definedName name="_____KR2_1_1_1_1_1">#N/A</definedName>
    <definedName name="_____KR2_1_1_2">#N/A</definedName>
    <definedName name="_____KR2_1_2">#N/A</definedName>
    <definedName name="_____KR2_1_2_1">#N/A</definedName>
    <definedName name="_____KR2_1_2_1_1">#N/A</definedName>
    <definedName name="_____KR2_1_2_2">#N/A</definedName>
    <definedName name="_____KR2_1_3">#N/A</definedName>
    <definedName name="_____KR2_1_3_1">#N/A</definedName>
    <definedName name="_____KR2_1_3_2">#N/A</definedName>
    <definedName name="_____KR2_1_4">#N/A</definedName>
    <definedName name="_____KR2_1_4_1">#N/A</definedName>
    <definedName name="_____KR2_1_4_2">#N/A</definedName>
    <definedName name="_____KR2_1_5">#N/A</definedName>
    <definedName name="_____KR2_1_5_1">#N/A</definedName>
    <definedName name="_____KR2_1_5_2">#N/A</definedName>
    <definedName name="_____KR2_1_6">#N/A</definedName>
    <definedName name="_____KR2_1_6_1">#N/A</definedName>
    <definedName name="_____KR2_1_6_2">#N/A</definedName>
    <definedName name="_____KR2_1_7">#N/A</definedName>
    <definedName name="_____KR2_1_7_1">#N/A</definedName>
    <definedName name="_____KR2_1_7_2">#N/A</definedName>
    <definedName name="_____KR2_2">#N/A</definedName>
    <definedName name="_____KR2_2_1">#N/A</definedName>
    <definedName name="_____KR2_2_1_1">#N/A</definedName>
    <definedName name="_____KR2_2_2">#N/A</definedName>
    <definedName name="_____KR2_3">#N/A</definedName>
    <definedName name="_____KR2_3_1">#N/A</definedName>
    <definedName name="_____KR2_3_2">#N/A</definedName>
    <definedName name="_____KR2_4">#N/A</definedName>
    <definedName name="_____KR2_4_1">#N/A</definedName>
    <definedName name="_____KR2_4_2">#N/A</definedName>
    <definedName name="_____KR2_5">#N/A</definedName>
    <definedName name="_____KR2_5_1">#N/A</definedName>
    <definedName name="_____KR2_5_2">#N/A</definedName>
    <definedName name="_____KR2_6">#N/A</definedName>
    <definedName name="_____KR2_6_1">#N/A</definedName>
    <definedName name="_____KR2_6_2">#N/A</definedName>
    <definedName name="_____KR2_7">#N/A</definedName>
    <definedName name="_____KR2_7_1">#N/A</definedName>
    <definedName name="_____KR2_7_2">#N/A</definedName>
    <definedName name="_____KR3">#N/A</definedName>
    <definedName name="_____KR3_1">#N/A</definedName>
    <definedName name="_____KR3_1_1">#N/A</definedName>
    <definedName name="_____KR3_1_1_1">#N/A</definedName>
    <definedName name="_____KR3_1_1_1_1">#N/A</definedName>
    <definedName name="_____KR3_1_1_1_1_1">#N/A</definedName>
    <definedName name="_____KR3_1_1_2">#N/A</definedName>
    <definedName name="_____KR3_1_2">#N/A</definedName>
    <definedName name="_____KR3_1_2_1">#N/A</definedName>
    <definedName name="_____KR3_1_2_1_1">#N/A</definedName>
    <definedName name="_____KR3_1_2_2">#N/A</definedName>
    <definedName name="_____KR3_1_3">#N/A</definedName>
    <definedName name="_____KR3_1_3_1">#N/A</definedName>
    <definedName name="_____KR3_1_3_2">#N/A</definedName>
    <definedName name="_____KR3_1_4">#N/A</definedName>
    <definedName name="_____KR3_1_4_1">#N/A</definedName>
    <definedName name="_____KR3_1_4_2">#N/A</definedName>
    <definedName name="_____KR3_1_5">#N/A</definedName>
    <definedName name="_____KR3_1_5_1">#N/A</definedName>
    <definedName name="_____KR3_1_5_2">#N/A</definedName>
    <definedName name="_____KR3_1_6">#N/A</definedName>
    <definedName name="_____KR3_1_6_1">#N/A</definedName>
    <definedName name="_____KR3_1_6_2">#N/A</definedName>
    <definedName name="_____KR3_1_7">#N/A</definedName>
    <definedName name="_____KR3_1_7_1">#N/A</definedName>
    <definedName name="_____KR3_1_7_2">#N/A</definedName>
    <definedName name="_____KR3_2">#N/A</definedName>
    <definedName name="_____KR3_2_1">#N/A</definedName>
    <definedName name="_____KR3_2_1_1">#N/A</definedName>
    <definedName name="_____KR3_2_2">#N/A</definedName>
    <definedName name="_____KR3_3">#N/A</definedName>
    <definedName name="_____KR3_3_1">#N/A</definedName>
    <definedName name="_____KR3_3_2">#N/A</definedName>
    <definedName name="_____KR3_4">#N/A</definedName>
    <definedName name="_____KR3_4_1">#N/A</definedName>
    <definedName name="_____KR3_4_2">#N/A</definedName>
    <definedName name="_____KR3_5">#N/A</definedName>
    <definedName name="_____KR3_5_1">#N/A</definedName>
    <definedName name="_____KR3_5_2">#N/A</definedName>
    <definedName name="_____KR3_6">#N/A</definedName>
    <definedName name="_____KR3_6_1">#N/A</definedName>
    <definedName name="_____KR3_6_2">#N/A</definedName>
    <definedName name="_____KR3_7">#N/A</definedName>
    <definedName name="_____KR3_7_1">#N/A</definedName>
    <definedName name="_____KR3_7_2">#N/A</definedName>
    <definedName name="_____KR4">#N/A</definedName>
    <definedName name="_____KR4_1">#N/A</definedName>
    <definedName name="_____KR4_1_1">#N/A</definedName>
    <definedName name="_____KR4_1_1_1">#N/A</definedName>
    <definedName name="_____KR4_1_1_1_1">#N/A</definedName>
    <definedName name="_____KR4_1_1_1_1_1">#N/A</definedName>
    <definedName name="_____KR4_1_1_2">#N/A</definedName>
    <definedName name="_____KR4_1_2">#N/A</definedName>
    <definedName name="_____KR4_1_2_1">#N/A</definedName>
    <definedName name="_____KR4_1_2_1_1">#N/A</definedName>
    <definedName name="_____KR4_1_2_2">#N/A</definedName>
    <definedName name="_____KR4_1_3">#N/A</definedName>
    <definedName name="_____KR4_1_3_1">#N/A</definedName>
    <definedName name="_____KR4_1_3_2">#N/A</definedName>
    <definedName name="_____KR4_1_4">#N/A</definedName>
    <definedName name="_____KR4_1_4_1">#N/A</definedName>
    <definedName name="_____KR4_1_4_2">#N/A</definedName>
    <definedName name="_____KR4_1_5">#N/A</definedName>
    <definedName name="_____KR4_1_5_1">#N/A</definedName>
    <definedName name="_____KR4_1_5_2">#N/A</definedName>
    <definedName name="_____KR4_1_6">#N/A</definedName>
    <definedName name="_____KR4_1_6_1">#N/A</definedName>
    <definedName name="_____KR4_1_6_2">#N/A</definedName>
    <definedName name="_____KR4_1_7">#N/A</definedName>
    <definedName name="_____KR4_1_7_1">#N/A</definedName>
    <definedName name="_____KR4_1_7_2">#N/A</definedName>
    <definedName name="_____KR4_2">#N/A</definedName>
    <definedName name="_____KR4_2_1">#N/A</definedName>
    <definedName name="_____KR4_2_1_1">#N/A</definedName>
    <definedName name="_____KR4_2_2">#N/A</definedName>
    <definedName name="_____KR4_3">#N/A</definedName>
    <definedName name="_____KR4_3_1">#N/A</definedName>
    <definedName name="_____KR4_3_2">#N/A</definedName>
    <definedName name="_____KR4_4">#N/A</definedName>
    <definedName name="_____KR4_4_1">#N/A</definedName>
    <definedName name="_____KR4_4_2">#N/A</definedName>
    <definedName name="_____KR4_5">#N/A</definedName>
    <definedName name="_____KR4_5_1">#N/A</definedName>
    <definedName name="_____KR4_5_2">#N/A</definedName>
    <definedName name="_____KR4_6">#N/A</definedName>
    <definedName name="_____KR4_6_1">#N/A</definedName>
    <definedName name="_____KR4_6_2">#N/A</definedName>
    <definedName name="_____KR4_7">#N/A</definedName>
    <definedName name="_____KR4_7_1">#N/A</definedName>
    <definedName name="_____KR4_7_2">#N/A</definedName>
    <definedName name="_____KR5">#N/A</definedName>
    <definedName name="_____KR5_1">#N/A</definedName>
    <definedName name="_____KR5_1_1">#N/A</definedName>
    <definedName name="_____KR5_1_1_1">#N/A</definedName>
    <definedName name="_____KR5_1_1_1_1">#N/A</definedName>
    <definedName name="_____KR5_1_1_1_1_1">#N/A</definedName>
    <definedName name="_____KR5_1_1_2">#N/A</definedName>
    <definedName name="_____KR5_1_2">#N/A</definedName>
    <definedName name="_____KR5_1_2_1">#N/A</definedName>
    <definedName name="_____KR5_1_2_1_1">#N/A</definedName>
    <definedName name="_____KR5_1_2_2">#N/A</definedName>
    <definedName name="_____KR5_1_3">#N/A</definedName>
    <definedName name="_____KR5_1_3_1">#N/A</definedName>
    <definedName name="_____KR5_1_3_2">#N/A</definedName>
    <definedName name="_____KR5_1_4">#N/A</definedName>
    <definedName name="_____KR5_1_4_1">#N/A</definedName>
    <definedName name="_____KR5_1_4_2">#N/A</definedName>
    <definedName name="_____KR5_1_5">#N/A</definedName>
    <definedName name="_____KR5_1_5_1">#N/A</definedName>
    <definedName name="_____KR5_1_5_2">#N/A</definedName>
    <definedName name="_____KR5_1_6">#N/A</definedName>
    <definedName name="_____KR5_1_6_1">#N/A</definedName>
    <definedName name="_____KR5_1_6_2">#N/A</definedName>
    <definedName name="_____KR5_1_7">#N/A</definedName>
    <definedName name="_____KR5_1_7_1">#N/A</definedName>
    <definedName name="_____KR5_1_7_2">#N/A</definedName>
    <definedName name="_____KR5_2">#N/A</definedName>
    <definedName name="_____KR5_2_1">#N/A</definedName>
    <definedName name="_____KR5_2_1_1">#N/A</definedName>
    <definedName name="_____KR5_2_2">#N/A</definedName>
    <definedName name="_____KR5_3">#N/A</definedName>
    <definedName name="_____KR5_3_1">#N/A</definedName>
    <definedName name="_____KR5_3_2">#N/A</definedName>
    <definedName name="_____KR5_4">#N/A</definedName>
    <definedName name="_____KR5_4_1">#N/A</definedName>
    <definedName name="_____KR5_4_2">#N/A</definedName>
    <definedName name="_____KR5_5">#N/A</definedName>
    <definedName name="_____KR5_5_1">#N/A</definedName>
    <definedName name="_____KR5_5_2">#N/A</definedName>
    <definedName name="_____KR5_6">#N/A</definedName>
    <definedName name="_____KR5_6_1">#N/A</definedName>
    <definedName name="_____KR5_6_2">#N/A</definedName>
    <definedName name="_____KR5_7">#N/A</definedName>
    <definedName name="_____KR5_7_1">#N/A</definedName>
    <definedName name="_____KR5_7_2">#N/A</definedName>
    <definedName name="_____MG1">#N/A</definedName>
    <definedName name="_____MG1_1">#N/A</definedName>
    <definedName name="_____MG1_1_1">#N/A</definedName>
    <definedName name="_____MG1_1_1_1">#N/A</definedName>
    <definedName name="_____MG1_1_1_1_1">#N/A</definedName>
    <definedName name="_____MG1_1_1_1_1_1">#N/A</definedName>
    <definedName name="_____MG1_1_1_2">#N/A</definedName>
    <definedName name="_____MG1_1_2">#N/A</definedName>
    <definedName name="_____MG1_1_2_1">#N/A</definedName>
    <definedName name="_____MG1_1_2_1_1">#N/A</definedName>
    <definedName name="_____MG1_1_2_2">#N/A</definedName>
    <definedName name="_____MG1_1_3">#N/A</definedName>
    <definedName name="_____MG1_1_3_1">#N/A</definedName>
    <definedName name="_____MG1_1_3_2">#N/A</definedName>
    <definedName name="_____MG1_1_4">#N/A</definedName>
    <definedName name="_____MG1_1_4_1">#N/A</definedName>
    <definedName name="_____MG1_1_4_2">#N/A</definedName>
    <definedName name="_____MG1_1_5">#N/A</definedName>
    <definedName name="_____MG1_1_5_1">#N/A</definedName>
    <definedName name="_____MG1_1_5_2">#N/A</definedName>
    <definedName name="_____MG1_1_6">#N/A</definedName>
    <definedName name="_____MG1_1_6_1">#N/A</definedName>
    <definedName name="_____MG1_1_6_2">#N/A</definedName>
    <definedName name="_____MG1_1_7">#N/A</definedName>
    <definedName name="_____MG1_1_7_1">#N/A</definedName>
    <definedName name="_____MG1_1_7_2">#N/A</definedName>
    <definedName name="_____MG1_2">#N/A</definedName>
    <definedName name="_____MG1_2_1">#N/A</definedName>
    <definedName name="_____MG1_2_1_1">#N/A</definedName>
    <definedName name="_____MG1_2_2">#N/A</definedName>
    <definedName name="_____MG1_3">#N/A</definedName>
    <definedName name="_____MG1_3_1">#N/A</definedName>
    <definedName name="_____MG1_3_2">#N/A</definedName>
    <definedName name="_____MG1_4">#N/A</definedName>
    <definedName name="_____MG1_4_1">#N/A</definedName>
    <definedName name="_____MG1_4_2">#N/A</definedName>
    <definedName name="_____MG1_5">#N/A</definedName>
    <definedName name="_____MG1_5_1">#N/A</definedName>
    <definedName name="_____MG1_5_2">#N/A</definedName>
    <definedName name="_____MG1_6">#N/A</definedName>
    <definedName name="_____MG1_6_1">#N/A</definedName>
    <definedName name="_____MG1_6_2">#N/A</definedName>
    <definedName name="_____MG1_7">#N/A</definedName>
    <definedName name="_____MG1_7_1">#N/A</definedName>
    <definedName name="_____MG1_7_2">#N/A</definedName>
    <definedName name="_____MG2">#N/A</definedName>
    <definedName name="_____MG2_1">#N/A</definedName>
    <definedName name="_____MG2_1_1">#N/A</definedName>
    <definedName name="_____MG2_1_1_1">#N/A</definedName>
    <definedName name="_____MG2_1_1_1_1">#N/A</definedName>
    <definedName name="_____MG2_1_1_1_1_1">#N/A</definedName>
    <definedName name="_____MG2_1_1_2">#N/A</definedName>
    <definedName name="_____MG2_1_2">#N/A</definedName>
    <definedName name="_____MG2_1_2_1">#N/A</definedName>
    <definedName name="_____MG2_1_2_1_1">#N/A</definedName>
    <definedName name="_____MG2_1_2_2">#N/A</definedName>
    <definedName name="_____MG2_1_3">#N/A</definedName>
    <definedName name="_____MG2_1_3_1">#N/A</definedName>
    <definedName name="_____MG2_1_3_2">#N/A</definedName>
    <definedName name="_____MG2_1_4">#N/A</definedName>
    <definedName name="_____MG2_1_4_1">#N/A</definedName>
    <definedName name="_____MG2_1_4_2">#N/A</definedName>
    <definedName name="_____MG2_1_5">#N/A</definedName>
    <definedName name="_____MG2_1_5_1">#N/A</definedName>
    <definedName name="_____MG2_1_5_2">#N/A</definedName>
    <definedName name="_____MG2_1_6">#N/A</definedName>
    <definedName name="_____MG2_1_6_1">#N/A</definedName>
    <definedName name="_____MG2_1_6_2">#N/A</definedName>
    <definedName name="_____MG2_1_7">#N/A</definedName>
    <definedName name="_____MG2_1_7_1">#N/A</definedName>
    <definedName name="_____MG2_1_7_2">#N/A</definedName>
    <definedName name="_____MG2_2">#N/A</definedName>
    <definedName name="_____MG2_2_1">#N/A</definedName>
    <definedName name="_____MG2_2_1_1">#N/A</definedName>
    <definedName name="_____MG2_2_2">#N/A</definedName>
    <definedName name="_____MG2_3">#N/A</definedName>
    <definedName name="_____MG2_3_1">#N/A</definedName>
    <definedName name="_____MG2_3_2">#N/A</definedName>
    <definedName name="_____MG2_4">#N/A</definedName>
    <definedName name="_____MG2_4_1">#N/A</definedName>
    <definedName name="_____MG2_4_2">#N/A</definedName>
    <definedName name="_____MG2_5">#N/A</definedName>
    <definedName name="_____MG2_5_1">#N/A</definedName>
    <definedName name="_____MG2_5_2">#N/A</definedName>
    <definedName name="_____MG2_6">#N/A</definedName>
    <definedName name="_____MG2_6_1">#N/A</definedName>
    <definedName name="_____MG2_6_2">#N/A</definedName>
    <definedName name="_____MG2_7">#N/A</definedName>
    <definedName name="_____MG2_7_1">#N/A</definedName>
    <definedName name="_____MG2_7_2">#N/A</definedName>
    <definedName name="_____MG3">#N/A</definedName>
    <definedName name="_____MG3_1">#N/A</definedName>
    <definedName name="_____MG3_1_1">#N/A</definedName>
    <definedName name="_____MG3_1_1_1">#N/A</definedName>
    <definedName name="_____MG3_1_1_1_1">#N/A</definedName>
    <definedName name="_____MG3_1_1_1_1_1">#N/A</definedName>
    <definedName name="_____MG3_1_1_2">#N/A</definedName>
    <definedName name="_____MG3_1_2">#N/A</definedName>
    <definedName name="_____MG3_1_2_1">#N/A</definedName>
    <definedName name="_____MG3_1_2_1_1">#N/A</definedName>
    <definedName name="_____MG3_1_2_2">#N/A</definedName>
    <definedName name="_____MG3_1_3">#N/A</definedName>
    <definedName name="_____MG3_1_3_1">#N/A</definedName>
    <definedName name="_____MG3_1_3_2">#N/A</definedName>
    <definedName name="_____MG3_1_4">#N/A</definedName>
    <definedName name="_____MG3_1_4_1">#N/A</definedName>
    <definedName name="_____MG3_1_4_2">#N/A</definedName>
    <definedName name="_____MG3_1_5">#N/A</definedName>
    <definedName name="_____MG3_1_5_1">#N/A</definedName>
    <definedName name="_____MG3_1_5_2">#N/A</definedName>
    <definedName name="_____MG3_1_6">#N/A</definedName>
    <definedName name="_____MG3_1_6_1">#N/A</definedName>
    <definedName name="_____MG3_1_6_2">#N/A</definedName>
    <definedName name="_____MG3_1_7">#N/A</definedName>
    <definedName name="_____MG3_1_7_1">#N/A</definedName>
    <definedName name="_____MG3_1_7_2">#N/A</definedName>
    <definedName name="_____MG3_2">#N/A</definedName>
    <definedName name="_____MG3_2_1">#N/A</definedName>
    <definedName name="_____MG3_2_1_1">#N/A</definedName>
    <definedName name="_____MG3_2_2">#N/A</definedName>
    <definedName name="_____MG3_3">#N/A</definedName>
    <definedName name="_____MG3_3_1">#N/A</definedName>
    <definedName name="_____MG3_3_2">#N/A</definedName>
    <definedName name="_____MG3_4">#N/A</definedName>
    <definedName name="_____MG3_4_1">#N/A</definedName>
    <definedName name="_____MG3_4_2">#N/A</definedName>
    <definedName name="_____MG3_5">#N/A</definedName>
    <definedName name="_____MG3_5_1">#N/A</definedName>
    <definedName name="_____MG3_5_2">#N/A</definedName>
    <definedName name="_____MG3_6">#N/A</definedName>
    <definedName name="_____MG3_6_1">#N/A</definedName>
    <definedName name="_____MG3_6_2">#N/A</definedName>
    <definedName name="_____MG3_7">#N/A</definedName>
    <definedName name="_____MG3_7_1">#N/A</definedName>
    <definedName name="_____MG3_7_2">#N/A</definedName>
    <definedName name="_____MG4">#N/A</definedName>
    <definedName name="_____MG4_1">#N/A</definedName>
    <definedName name="_____MG4_1_1">#N/A</definedName>
    <definedName name="_____MG4_1_1_1">#N/A</definedName>
    <definedName name="_____MG4_1_1_1_1">#N/A</definedName>
    <definedName name="_____MG4_1_1_1_1_1">#N/A</definedName>
    <definedName name="_____MG4_1_1_2">#N/A</definedName>
    <definedName name="_____MG4_1_2">#N/A</definedName>
    <definedName name="_____MG4_1_2_1">#N/A</definedName>
    <definedName name="_____MG4_1_2_1_1">#N/A</definedName>
    <definedName name="_____MG4_1_2_2">#N/A</definedName>
    <definedName name="_____MG4_1_3">#N/A</definedName>
    <definedName name="_____MG4_1_3_1">#N/A</definedName>
    <definedName name="_____MG4_1_3_2">#N/A</definedName>
    <definedName name="_____MG4_1_4">#N/A</definedName>
    <definedName name="_____MG4_1_4_1">#N/A</definedName>
    <definedName name="_____MG4_1_4_2">#N/A</definedName>
    <definedName name="_____MG4_1_5">#N/A</definedName>
    <definedName name="_____MG4_1_5_1">#N/A</definedName>
    <definedName name="_____MG4_1_5_2">#N/A</definedName>
    <definedName name="_____MG4_1_6">#N/A</definedName>
    <definedName name="_____MG4_1_6_1">#N/A</definedName>
    <definedName name="_____MG4_1_6_2">#N/A</definedName>
    <definedName name="_____MG4_1_7">#N/A</definedName>
    <definedName name="_____MG4_1_7_1">#N/A</definedName>
    <definedName name="_____MG4_1_7_2">#N/A</definedName>
    <definedName name="_____MG4_2">#N/A</definedName>
    <definedName name="_____MG4_2_1">#N/A</definedName>
    <definedName name="_____MG4_2_1_1">#N/A</definedName>
    <definedName name="_____MG4_2_2">#N/A</definedName>
    <definedName name="_____MG4_3">#N/A</definedName>
    <definedName name="_____MG4_3_1">#N/A</definedName>
    <definedName name="_____MG4_3_2">#N/A</definedName>
    <definedName name="_____MG4_4">#N/A</definedName>
    <definedName name="_____MG4_4_1">#N/A</definedName>
    <definedName name="_____MG4_4_2">#N/A</definedName>
    <definedName name="_____MG4_5">#N/A</definedName>
    <definedName name="_____MG4_5_1">#N/A</definedName>
    <definedName name="_____MG4_5_2">#N/A</definedName>
    <definedName name="_____MG4_6">#N/A</definedName>
    <definedName name="_____MG4_6_1">#N/A</definedName>
    <definedName name="_____MG4_6_2">#N/A</definedName>
    <definedName name="_____MG4_7">#N/A</definedName>
    <definedName name="_____MG4_7_1">#N/A</definedName>
    <definedName name="_____MG4_7_2">#N/A</definedName>
    <definedName name="_____MLZ1">#N/A</definedName>
    <definedName name="_____MLZ1_1">#N/A</definedName>
    <definedName name="_____MLZ1_1_1">#N/A</definedName>
    <definedName name="_____MLZ1_1_1_1">#N/A</definedName>
    <definedName name="_____MLZ1_1_1_1_1">#N/A</definedName>
    <definedName name="_____MLZ1_1_1_1_1_1">#N/A</definedName>
    <definedName name="_____MLZ1_1_1_2">#N/A</definedName>
    <definedName name="_____MLZ1_1_2">#N/A</definedName>
    <definedName name="_____MLZ1_1_2_1">#N/A</definedName>
    <definedName name="_____MLZ1_1_2_1_1">#N/A</definedName>
    <definedName name="_____MLZ1_1_2_2">#N/A</definedName>
    <definedName name="_____MLZ1_1_3">#N/A</definedName>
    <definedName name="_____MLZ1_1_3_1">#N/A</definedName>
    <definedName name="_____MLZ1_1_3_2">#N/A</definedName>
    <definedName name="_____MLZ1_1_4">#N/A</definedName>
    <definedName name="_____MLZ1_1_4_1">#N/A</definedName>
    <definedName name="_____MLZ1_1_4_2">#N/A</definedName>
    <definedName name="_____MLZ1_1_5">#N/A</definedName>
    <definedName name="_____MLZ1_1_5_1">#N/A</definedName>
    <definedName name="_____MLZ1_1_5_2">#N/A</definedName>
    <definedName name="_____MLZ1_1_6">#N/A</definedName>
    <definedName name="_____MLZ1_1_6_1">#N/A</definedName>
    <definedName name="_____MLZ1_1_6_2">#N/A</definedName>
    <definedName name="_____MLZ1_1_7">#N/A</definedName>
    <definedName name="_____MLZ1_1_7_1">#N/A</definedName>
    <definedName name="_____MLZ1_1_7_2">#N/A</definedName>
    <definedName name="_____MLZ1_2">#N/A</definedName>
    <definedName name="_____MLZ1_2_1">#N/A</definedName>
    <definedName name="_____MLZ1_2_1_1">#N/A</definedName>
    <definedName name="_____MLZ1_2_2">#N/A</definedName>
    <definedName name="_____MLZ1_3">#N/A</definedName>
    <definedName name="_____MLZ1_3_1">#N/A</definedName>
    <definedName name="_____MLZ1_3_2">#N/A</definedName>
    <definedName name="_____MLZ1_4">#N/A</definedName>
    <definedName name="_____MLZ1_4_1">#N/A</definedName>
    <definedName name="_____MLZ1_4_2">#N/A</definedName>
    <definedName name="_____MLZ1_5">#N/A</definedName>
    <definedName name="_____MLZ1_5_1">#N/A</definedName>
    <definedName name="_____MLZ1_5_2">#N/A</definedName>
    <definedName name="_____MLZ1_6">#N/A</definedName>
    <definedName name="_____MLZ1_6_1">#N/A</definedName>
    <definedName name="_____MLZ1_6_2">#N/A</definedName>
    <definedName name="_____MLZ1_7">#N/A</definedName>
    <definedName name="_____MLZ1_7_1">#N/A</definedName>
    <definedName name="_____MLZ1_7_2">#N/A</definedName>
    <definedName name="_____mlz2">#N/A</definedName>
    <definedName name="_____mlz2_1">#N/A</definedName>
    <definedName name="_____mlz2_1_1">#N/A</definedName>
    <definedName name="_____mlz2_1_1_1">#N/A</definedName>
    <definedName name="_____mlz2_1_1_1_1">#N/A</definedName>
    <definedName name="_____mlz2_1_1_1_1_1">#N/A</definedName>
    <definedName name="_____mlz2_1_1_2">#N/A</definedName>
    <definedName name="_____mlz2_1_2">#N/A</definedName>
    <definedName name="_____mlz2_1_2_1">#N/A</definedName>
    <definedName name="_____mlz2_1_2_1_1">#N/A</definedName>
    <definedName name="_____mlz2_1_2_2">#N/A</definedName>
    <definedName name="_____mlz2_1_3">#N/A</definedName>
    <definedName name="_____mlz2_1_3_1">#N/A</definedName>
    <definedName name="_____mlz2_1_3_2">#N/A</definedName>
    <definedName name="_____mlz2_1_4">#N/A</definedName>
    <definedName name="_____mlz2_1_4_1">#N/A</definedName>
    <definedName name="_____mlz2_1_4_2">#N/A</definedName>
    <definedName name="_____mlz2_1_5">#N/A</definedName>
    <definedName name="_____mlz2_1_5_1">#N/A</definedName>
    <definedName name="_____mlz2_1_5_2">#N/A</definedName>
    <definedName name="_____mlz2_1_6">#N/A</definedName>
    <definedName name="_____mlz2_1_6_1">#N/A</definedName>
    <definedName name="_____mlz2_1_6_2">#N/A</definedName>
    <definedName name="_____mlz2_1_7">#N/A</definedName>
    <definedName name="_____mlz2_1_7_1">#N/A</definedName>
    <definedName name="_____mlz2_1_7_2">#N/A</definedName>
    <definedName name="_____mlz2_2">#N/A</definedName>
    <definedName name="_____mlz2_2_1">#N/A</definedName>
    <definedName name="_____mlz2_2_1_1">#N/A</definedName>
    <definedName name="_____mlz2_2_2">#N/A</definedName>
    <definedName name="_____mlz2_3">#N/A</definedName>
    <definedName name="_____mlz2_3_1">#N/A</definedName>
    <definedName name="_____mlz2_3_2">#N/A</definedName>
    <definedName name="_____mlz2_4">#N/A</definedName>
    <definedName name="_____mlz2_4_1">#N/A</definedName>
    <definedName name="_____mlz2_4_2">#N/A</definedName>
    <definedName name="_____mlz2_5">#N/A</definedName>
    <definedName name="_____mlz2_5_1">#N/A</definedName>
    <definedName name="_____mlz2_5_2">#N/A</definedName>
    <definedName name="_____mlz2_6">#N/A</definedName>
    <definedName name="_____mlz2_6_1">#N/A</definedName>
    <definedName name="_____mlz2_6_2">#N/A</definedName>
    <definedName name="_____mlz2_7">#N/A</definedName>
    <definedName name="_____mlz2_7_1">#N/A</definedName>
    <definedName name="_____mlz2_7_2">#N/A</definedName>
    <definedName name="_____PAN1">#N/A</definedName>
    <definedName name="_____PAN1_1">#N/A</definedName>
    <definedName name="_____PAN1_1_1">#N/A</definedName>
    <definedName name="_____PAN1_1_1_1">#N/A</definedName>
    <definedName name="_____PAN1_1_1_1_1">#N/A</definedName>
    <definedName name="_____PAN1_1_1_1_1_1">#N/A</definedName>
    <definedName name="_____PAN1_1_1_2">#N/A</definedName>
    <definedName name="_____PAN1_1_2">#N/A</definedName>
    <definedName name="_____PAN1_1_2_1">#N/A</definedName>
    <definedName name="_____PAN1_1_2_1_1">#N/A</definedName>
    <definedName name="_____PAN1_1_2_2">#N/A</definedName>
    <definedName name="_____PAN1_1_3">#N/A</definedName>
    <definedName name="_____PAN1_1_3_1">#N/A</definedName>
    <definedName name="_____PAN1_1_3_2">#N/A</definedName>
    <definedName name="_____PAN1_1_4">#N/A</definedName>
    <definedName name="_____PAN1_1_4_1">#N/A</definedName>
    <definedName name="_____PAN1_1_4_2">#N/A</definedName>
    <definedName name="_____PAN1_1_5">#N/A</definedName>
    <definedName name="_____PAN1_1_5_1">#N/A</definedName>
    <definedName name="_____PAN1_1_5_2">#N/A</definedName>
    <definedName name="_____PAN1_1_6">#N/A</definedName>
    <definedName name="_____PAN1_1_6_1">#N/A</definedName>
    <definedName name="_____PAN1_1_6_2">#N/A</definedName>
    <definedName name="_____PAN1_1_7">#N/A</definedName>
    <definedName name="_____PAN1_1_7_1">#N/A</definedName>
    <definedName name="_____PAN1_1_7_2">#N/A</definedName>
    <definedName name="_____PAN1_2">#N/A</definedName>
    <definedName name="_____PAN1_2_1">#N/A</definedName>
    <definedName name="_____PAN1_2_1_1">#N/A</definedName>
    <definedName name="_____PAN1_2_2">#N/A</definedName>
    <definedName name="_____PAN1_3">#N/A</definedName>
    <definedName name="_____PAN1_3_1">#N/A</definedName>
    <definedName name="_____PAN1_3_2">#N/A</definedName>
    <definedName name="_____PAN1_4">#N/A</definedName>
    <definedName name="_____PAN1_4_1">#N/A</definedName>
    <definedName name="_____PAN1_4_2">#N/A</definedName>
    <definedName name="_____PAN1_5">#N/A</definedName>
    <definedName name="_____PAN1_5_1">#N/A</definedName>
    <definedName name="_____PAN1_5_2">#N/A</definedName>
    <definedName name="_____PAN1_6">#N/A</definedName>
    <definedName name="_____PAN1_6_1">#N/A</definedName>
    <definedName name="_____PAN1_6_2">#N/A</definedName>
    <definedName name="_____PAN1_7">#N/A</definedName>
    <definedName name="_____PAN1_7_1">#N/A</definedName>
    <definedName name="_____PAN1_7_2">#N/A</definedName>
    <definedName name="_____PAN2">#N/A</definedName>
    <definedName name="_____PAN2_1">#N/A</definedName>
    <definedName name="_____PAN2_1_1">#N/A</definedName>
    <definedName name="_____PAN2_1_1_1">#N/A</definedName>
    <definedName name="_____PAN2_1_1_1_1">#N/A</definedName>
    <definedName name="_____PAN2_1_1_1_1_1">#N/A</definedName>
    <definedName name="_____PAN2_1_1_2">#N/A</definedName>
    <definedName name="_____PAN2_1_2">#N/A</definedName>
    <definedName name="_____PAN2_1_2_1">#N/A</definedName>
    <definedName name="_____PAN2_1_2_1_1">#N/A</definedName>
    <definedName name="_____PAN2_1_2_2">#N/A</definedName>
    <definedName name="_____PAN2_1_3">#N/A</definedName>
    <definedName name="_____PAN2_1_3_1">#N/A</definedName>
    <definedName name="_____PAN2_1_3_2">#N/A</definedName>
    <definedName name="_____PAN2_1_4">#N/A</definedName>
    <definedName name="_____PAN2_1_4_1">#N/A</definedName>
    <definedName name="_____PAN2_1_4_2">#N/A</definedName>
    <definedName name="_____PAN2_1_5">#N/A</definedName>
    <definedName name="_____PAN2_1_5_1">#N/A</definedName>
    <definedName name="_____PAN2_1_5_2">#N/A</definedName>
    <definedName name="_____PAN2_1_6">#N/A</definedName>
    <definedName name="_____PAN2_1_6_1">#N/A</definedName>
    <definedName name="_____PAN2_1_6_2">#N/A</definedName>
    <definedName name="_____PAN2_1_7">#N/A</definedName>
    <definedName name="_____PAN2_1_7_1">#N/A</definedName>
    <definedName name="_____PAN2_1_7_2">#N/A</definedName>
    <definedName name="_____PAN2_2">#N/A</definedName>
    <definedName name="_____PAN2_2_1">#N/A</definedName>
    <definedName name="_____PAN2_2_1_1">#N/A</definedName>
    <definedName name="_____PAN2_2_2">#N/A</definedName>
    <definedName name="_____PAN2_3">#N/A</definedName>
    <definedName name="_____PAN2_3_1">#N/A</definedName>
    <definedName name="_____PAN2_3_2">#N/A</definedName>
    <definedName name="_____PAN2_4">#N/A</definedName>
    <definedName name="_____PAN2_4_1">#N/A</definedName>
    <definedName name="_____PAN2_4_2">#N/A</definedName>
    <definedName name="_____PAN2_5">#N/A</definedName>
    <definedName name="_____PAN2_5_1">#N/A</definedName>
    <definedName name="_____PAN2_5_2">#N/A</definedName>
    <definedName name="_____PAN2_6">#N/A</definedName>
    <definedName name="_____PAN2_6_1">#N/A</definedName>
    <definedName name="_____PAN2_6_2">#N/A</definedName>
    <definedName name="_____PAN2_7">#N/A</definedName>
    <definedName name="_____PAN2_7_1">#N/A</definedName>
    <definedName name="_____PAN2_7_2">#N/A</definedName>
    <definedName name="_____RSK1">#N/A</definedName>
    <definedName name="_____RSK1_1">#N/A</definedName>
    <definedName name="_____RSK1_1_1">#N/A</definedName>
    <definedName name="_____RSK1_1_1_1">#N/A</definedName>
    <definedName name="_____RSK1_1_1_1_1">#N/A</definedName>
    <definedName name="_____RSK1_1_1_1_1_1">#N/A</definedName>
    <definedName name="_____RSK1_1_1_2">#N/A</definedName>
    <definedName name="_____RSK1_1_2">#N/A</definedName>
    <definedName name="_____RSK1_1_2_1">#N/A</definedName>
    <definedName name="_____RSK1_1_2_1_1">#N/A</definedName>
    <definedName name="_____RSK1_1_2_2">#N/A</definedName>
    <definedName name="_____RSK1_1_3">#N/A</definedName>
    <definedName name="_____RSK1_1_3_1">#N/A</definedName>
    <definedName name="_____RSK1_1_3_2">#N/A</definedName>
    <definedName name="_____RSK1_1_4">#N/A</definedName>
    <definedName name="_____RSK1_1_4_1">#N/A</definedName>
    <definedName name="_____RSK1_1_4_2">#N/A</definedName>
    <definedName name="_____RSK1_1_5">#N/A</definedName>
    <definedName name="_____RSK1_1_5_1">#N/A</definedName>
    <definedName name="_____RSK1_1_5_2">#N/A</definedName>
    <definedName name="_____RSK1_1_6">#N/A</definedName>
    <definedName name="_____RSK1_1_6_1">#N/A</definedName>
    <definedName name="_____RSK1_1_6_2">#N/A</definedName>
    <definedName name="_____RSK1_1_7">#N/A</definedName>
    <definedName name="_____RSK1_1_7_1">#N/A</definedName>
    <definedName name="_____RSK1_1_7_2">#N/A</definedName>
    <definedName name="_____RSK1_2">#N/A</definedName>
    <definedName name="_____RSK1_2_1">#N/A</definedName>
    <definedName name="_____RSK1_2_1_1">#N/A</definedName>
    <definedName name="_____RSK1_2_2">#N/A</definedName>
    <definedName name="_____RSK1_3">#N/A</definedName>
    <definedName name="_____RSK1_3_1">#N/A</definedName>
    <definedName name="_____RSK1_3_2">#N/A</definedName>
    <definedName name="_____RSK1_4">#N/A</definedName>
    <definedName name="_____RSK1_4_1">#N/A</definedName>
    <definedName name="_____RSK1_4_2">#N/A</definedName>
    <definedName name="_____RSK1_5">#N/A</definedName>
    <definedName name="_____RSK1_5_1">#N/A</definedName>
    <definedName name="_____RSK1_5_2">#N/A</definedName>
    <definedName name="_____RSK1_6">#N/A</definedName>
    <definedName name="_____RSK1_6_1">#N/A</definedName>
    <definedName name="_____RSK1_6_2">#N/A</definedName>
    <definedName name="_____RSK1_7">#N/A</definedName>
    <definedName name="_____RSK1_7_1">#N/A</definedName>
    <definedName name="_____RSK1_7_2">#N/A</definedName>
    <definedName name="_____RSK2">#N/A</definedName>
    <definedName name="_____RSK2_1">#N/A</definedName>
    <definedName name="_____RSK2_1_1">#N/A</definedName>
    <definedName name="_____RSK2_1_1_1">#N/A</definedName>
    <definedName name="_____RSK2_1_1_1_1">#N/A</definedName>
    <definedName name="_____RSK2_1_1_1_1_1">#N/A</definedName>
    <definedName name="_____RSK2_1_1_2">#N/A</definedName>
    <definedName name="_____RSK2_1_2">#N/A</definedName>
    <definedName name="_____RSK2_1_2_1">#N/A</definedName>
    <definedName name="_____RSK2_1_2_1_1">#N/A</definedName>
    <definedName name="_____RSK2_1_2_2">#N/A</definedName>
    <definedName name="_____RSK2_1_3">#N/A</definedName>
    <definedName name="_____RSK2_1_3_1">#N/A</definedName>
    <definedName name="_____RSK2_1_3_2">#N/A</definedName>
    <definedName name="_____RSK2_1_4">#N/A</definedName>
    <definedName name="_____RSK2_1_4_1">#N/A</definedName>
    <definedName name="_____RSK2_1_4_2">#N/A</definedName>
    <definedName name="_____RSK2_1_5">#N/A</definedName>
    <definedName name="_____RSK2_1_5_1">#N/A</definedName>
    <definedName name="_____RSK2_1_5_2">#N/A</definedName>
    <definedName name="_____RSK2_1_6">#N/A</definedName>
    <definedName name="_____RSK2_1_6_1">#N/A</definedName>
    <definedName name="_____RSK2_1_6_2">#N/A</definedName>
    <definedName name="_____RSK2_1_7">#N/A</definedName>
    <definedName name="_____RSK2_1_7_1">#N/A</definedName>
    <definedName name="_____RSK2_1_7_2">#N/A</definedName>
    <definedName name="_____RSK2_2">#N/A</definedName>
    <definedName name="_____RSK2_2_1">#N/A</definedName>
    <definedName name="_____RSK2_2_1_1">#N/A</definedName>
    <definedName name="_____RSK2_2_2">#N/A</definedName>
    <definedName name="_____RSK2_3">#N/A</definedName>
    <definedName name="_____RSK2_3_1">#N/A</definedName>
    <definedName name="_____RSK2_3_2">#N/A</definedName>
    <definedName name="_____RSK2_4">#N/A</definedName>
    <definedName name="_____RSK2_4_1">#N/A</definedName>
    <definedName name="_____RSK2_4_2">#N/A</definedName>
    <definedName name="_____RSK2_5">#N/A</definedName>
    <definedName name="_____RSK2_5_1">#N/A</definedName>
    <definedName name="_____RSK2_5_2">#N/A</definedName>
    <definedName name="_____RSK2_6">#N/A</definedName>
    <definedName name="_____RSK2_6_1">#N/A</definedName>
    <definedName name="_____RSK2_6_2">#N/A</definedName>
    <definedName name="_____RSK2_7">#N/A</definedName>
    <definedName name="_____RSK2_7_1">#N/A</definedName>
    <definedName name="_____RSK2_7_2">#N/A</definedName>
    <definedName name="_____RSK3">#N/A</definedName>
    <definedName name="_____RSK3_1">#N/A</definedName>
    <definedName name="_____RSK3_1_1">#N/A</definedName>
    <definedName name="_____RSK3_1_1_1">#N/A</definedName>
    <definedName name="_____RSK3_1_1_1_1">#N/A</definedName>
    <definedName name="_____RSK3_1_1_1_1_1">#N/A</definedName>
    <definedName name="_____RSK3_1_1_2">#N/A</definedName>
    <definedName name="_____RSK3_1_2">#N/A</definedName>
    <definedName name="_____RSK3_1_2_1">#N/A</definedName>
    <definedName name="_____RSK3_1_2_1_1">#N/A</definedName>
    <definedName name="_____RSK3_1_2_2">#N/A</definedName>
    <definedName name="_____RSK3_1_3">#N/A</definedName>
    <definedName name="_____RSK3_1_3_1">#N/A</definedName>
    <definedName name="_____RSK3_1_3_2">#N/A</definedName>
    <definedName name="_____RSK3_1_4">#N/A</definedName>
    <definedName name="_____RSK3_1_4_1">#N/A</definedName>
    <definedName name="_____RSK3_1_4_2">#N/A</definedName>
    <definedName name="_____RSK3_1_5">#N/A</definedName>
    <definedName name="_____RSK3_1_5_1">#N/A</definedName>
    <definedName name="_____RSK3_1_5_2">#N/A</definedName>
    <definedName name="_____RSK3_1_6">#N/A</definedName>
    <definedName name="_____RSK3_1_6_1">#N/A</definedName>
    <definedName name="_____RSK3_1_6_2">#N/A</definedName>
    <definedName name="_____RSK3_1_7">#N/A</definedName>
    <definedName name="_____RSK3_1_7_1">#N/A</definedName>
    <definedName name="_____RSK3_1_7_2">#N/A</definedName>
    <definedName name="_____RSK3_2">#N/A</definedName>
    <definedName name="_____RSK3_2_1">#N/A</definedName>
    <definedName name="_____RSK3_2_1_1">#N/A</definedName>
    <definedName name="_____RSK3_2_2">#N/A</definedName>
    <definedName name="_____RSK3_3">#N/A</definedName>
    <definedName name="_____RSK3_3_1">#N/A</definedName>
    <definedName name="_____RSK3_3_2">#N/A</definedName>
    <definedName name="_____RSK3_4">#N/A</definedName>
    <definedName name="_____RSK3_4_1">#N/A</definedName>
    <definedName name="_____RSK3_4_2">#N/A</definedName>
    <definedName name="_____RSK3_5">#N/A</definedName>
    <definedName name="_____RSK3_5_1">#N/A</definedName>
    <definedName name="_____RSK3_5_2">#N/A</definedName>
    <definedName name="_____RSK3_6">#N/A</definedName>
    <definedName name="_____RSK3_6_1">#N/A</definedName>
    <definedName name="_____RSK3_6_2">#N/A</definedName>
    <definedName name="_____RSK3_7">#N/A</definedName>
    <definedName name="_____RSK3_7_1">#N/A</definedName>
    <definedName name="_____RSK3_7_2">#N/A</definedName>
    <definedName name="____AGK1">#N/A</definedName>
    <definedName name="____AGK1_1">#N/A</definedName>
    <definedName name="____AGK1_1_1">#N/A</definedName>
    <definedName name="____AGK1_1_1_1">#N/A</definedName>
    <definedName name="____AGK1_1_1_1_1">#N/A</definedName>
    <definedName name="____AGK1_1_1_1_1_1">#N/A</definedName>
    <definedName name="____AGK1_1_1_2">#N/A</definedName>
    <definedName name="____AGK1_1_2">#N/A</definedName>
    <definedName name="____AGK1_1_2_1">#N/A</definedName>
    <definedName name="____AGK1_1_2_1_1">#N/A</definedName>
    <definedName name="____AGK1_1_2_2">#N/A</definedName>
    <definedName name="____AGK1_1_3">#N/A</definedName>
    <definedName name="____AGK1_1_3_1">#N/A</definedName>
    <definedName name="____AGK1_1_3_2">#N/A</definedName>
    <definedName name="____AGK1_1_4">#N/A</definedName>
    <definedName name="____AGK1_1_4_1">#N/A</definedName>
    <definedName name="____AGK1_1_4_2">#N/A</definedName>
    <definedName name="____AGK1_1_5">#N/A</definedName>
    <definedName name="____AGK1_1_5_1">#N/A</definedName>
    <definedName name="____AGK1_1_5_2">#N/A</definedName>
    <definedName name="____AGK1_1_6">#N/A</definedName>
    <definedName name="____AGK1_1_6_1">#N/A</definedName>
    <definedName name="____AGK1_1_6_2">#N/A</definedName>
    <definedName name="____AGK1_1_7">#N/A</definedName>
    <definedName name="____AGK1_1_7_1">#N/A</definedName>
    <definedName name="____AGK1_1_7_2">#N/A</definedName>
    <definedName name="____AGK1_2">#N/A</definedName>
    <definedName name="____AGK1_2_1">#N/A</definedName>
    <definedName name="____AGK1_2_1_1">#N/A</definedName>
    <definedName name="____AGK1_2_2">#N/A</definedName>
    <definedName name="____AGK1_3">#N/A</definedName>
    <definedName name="____AGK1_3_1">#N/A</definedName>
    <definedName name="____AGK1_3_2">#N/A</definedName>
    <definedName name="____AGK1_4">#N/A</definedName>
    <definedName name="____AGK1_4_1">#N/A</definedName>
    <definedName name="____AGK1_4_2">#N/A</definedName>
    <definedName name="____AGK1_5">#N/A</definedName>
    <definedName name="____AGK1_5_1">#N/A</definedName>
    <definedName name="____AGK1_5_2">#N/A</definedName>
    <definedName name="____AGK1_6">#N/A</definedName>
    <definedName name="____AGK1_6_1">#N/A</definedName>
    <definedName name="____AGK1_6_2">#N/A</definedName>
    <definedName name="____AGK1_7">#N/A</definedName>
    <definedName name="____AGK1_7_1">#N/A</definedName>
    <definedName name="____AGK1_7_2">#N/A</definedName>
    <definedName name="____AGK2">#N/A</definedName>
    <definedName name="____AGK2_1">#N/A</definedName>
    <definedName name="____AGK2_1_1">#N/A</definedName>
    <definedName name="____AGK2_1_1_1">#N/A</definedName>
    <definedName name="____AGK2_1_1_1_1">#N/A</definedName>
    <definedName name="____AGK2_1_1_1_1_1">#N/A</definedName>
    <definedName name="____AGK2_1_1_2">#N/A</definedName>
    <definedName name="____AGK2_1_2">#N/A</definedName>
    <definedName name="____AGK2_1_2_1">#N/A</definedName>
    <definedName name="____AGK2_1_2_1_1">#N/A</definedName>
    <definedName name="____AGK2_1_2_2">#N/A</definedName>
    <definedName name="____AGK2_1_3">#N/A</definedName>
    <definedName name="____AGK2_1_3_1">#N/A</definedName>
    <definedName name="____AGK2_1_3_2">#N/A</definedName>
    <definedName name="____AGK2_1_4">#N/A</definedName>
    <definedName name="____AGK2_1_4_1">#N/A</definedName>
    <definedName name="____AGK2_1_4_2">#N/A</definedName>
    <definedName name="____AGK2_1_5">#N/A</definedName>
    <definedName name="____AGK2_1_5_1">#N/A</definedName>
    <definedName name="____AGK2_1_5_2">#N/A</definedName>
    <definedName name="____AGK2_1_6">#N/A</definedName>
    <definedName name="____AGK2_1_6_1">#N/A</definedName>
    <definedName name="____AGK2_1_6_2">#N/A</definedName>
    <definedName name="____AGK2_1_7">#N/A</definedName>
    <definedName name="____AGK2_1_7_1">#N/A</definedName>
    <definedName name="____AGK2_1_7_2">#N/A</definedName>
    <definedName name="____AGK2_2">#N/A</definedName>
    <definedName name="____AGK2_2_1">#N/A</definedName>
    <definedName name="____AGK2_2_1_1">#N/A</definedName>
    <definedName name="____AGK2_2_2">#N/A</definedName>
    <definedName name="____AGK2_3">#N/A</definedName>
    <definedName name="____AGK2_3_1">#N/A</definedName>
    <definedName name="____AGK2_3_2">#N/A</definedName>
    <definedName name="____AGK2_4">#N/A</definedName>
    <definedName name="____AGK2_4_1">#N/A</definedName>
    <definedName name="____AGK2_4_2">#N/A</definedName>
    <definedName name="____AGK2_5">#N/A</definedName>
    <definedName name="____AGK2_5_1">#N/A</definedName>
    <definedName name="____AGK2_5_2">#N/A</definedName>
    <definedName name="____AGK2_6">#N/A</definedName>
    <definedName name="____AGK2_6_1">#N/A</definedName>
    <definedName name="____AGK2_6_2">#N/A</definedName>
    <definedName name="____AGK2_7">#N/A</definedName>
    <definedName name="____AGK2_7_1">#N/A</definedName>
    <definedName name="____AGK2_7_2">#N/A</definedName>
    <definedName name="____AGK3">#N/A</definedName>
    <definedName name="____AGK3_1">#N/A</definedName>
    <definedName name="____AGK3_1_1">#N/A</definedName>
    <definedName name="____AGK3_1_1_1">#N/A</definedName>
    <definedName name="____AGK3_1_1_1_1">#N/A</definedName>
    <definedName name="____AGK3_1_1_1_1_1">#N/A</definedName>
    <definedName name="____AGK3_1_1_2">#N/A</definedName>
    <definedName name="____AGK3_1_2">#N/A</definedName>
    <definedName name="____AGK3_1_2_1">#N/A</definedName>
    <definedName name="____AGK3_1_2_1_1">#N/A</definedName>
    <definedName name="____AGK3_1_2_2">#N/A</definedName>
    <definedName name="____AGK3_1_3">#N/A</definedName>
    <definedName name="____AGK3_1_3_1">#N/A</definedName>
    <definedName name="____AGK3_1_3_2">#N/A</definedName>
    <definedName name="____AGK3_1_4">#N/A</definedName>
    <definedName name="____AGK3_1_4_1">#N/A</definedName>
    <definedName name="____AGK3_1_4_2">#N/A</definedName>
    <definedName name="____AGK3_1_5">#N/A</definedName>
    <definedName name="____AGK3_1_5_1">#N/A</definedName>
    <definedName name="____AGK3_1_5_2">#N/A</definedName>
    <definedName name="____AGK3_1_6">#N/A</definedName>
    <definedName name="____AGK3_1_6_1">#N/A</definedName>
    <definedName name="____AGK3_1_6_2">#N/A</definedName>
    <definedName name="____AGK3_1_7">#N/A</definedName>
    <definedName name="____AGK3_1_7_1">#N/A</definedName>
    <definedName name="____AGK3_1_7_2">#N/A</definedName>
    <definedName name="____AGK3_2">#N/A</definedName>
    <definedName name="____AGK3_2_1">#N/A</definedName>
    <definedName name="____AGK3_2_1_1">#N/A</definedName>
    <definedName name="____AGK3_2_2">#N/A</definedName>
    <definedName name="____AGK3_3">#N/A</definedName>
    <definedName name="____AGK3_3_1">#N/A</definedName>
    <definedName name="____AGK3_3_2">#N/A</definedName>
    <definedName name="____AGK3_4">#N/A</definedName>
    <definedName name="____AGK3_4_1">#N/A</definedName>
    <definedName name="____AGK3_4_2">#N/A</definedName>
    <definedName name="____AGK3_5">#N/A</definedName>
    <definedName name="____AGK3_5_1">#N/A</definedName>
    <definedName name="____AGK3_5_2">#N/A</definedName>
    <definedName name="____AGK3_6">#N/A</definedName>
    <definedName name="____AGK3_6_1">#N/A</definedName>
    <definedName name="____AGK3_6_2">#N/A</definedName>
    <definedName name="____AGK3_7">#N/A</definedName>
    <definedName name="____AGK3_7_1">#N/A</definedName>
    <definedName name="____AGK3_7_2">#N/A</definedName>
    <definedName name="____AGK4">#N/A</definedName>
    <definedName name="____AGK4_1">#N/A</definedName>
    <definedName name="____AGK4_1_1">#N/A</definedName>
    <definedName name="____AGK4_1_1_1">#N/A</definedName>
    <definedName name="____AGK4_1_1_1_1">#N/A</definedName>
    <definedName name="____AGK4_1_1_1_1_1">#N/A</definedName>
    <definedName name="____AGK4_1_1_2">#N/A</definedName>
    <definedName name="____AGK4_1_2">#N/A</definedName>
    <definedName name="____AGK4_1_2_1">#N/A</definedName>
    <definedName name="____AGK4_1_2_1_1">#N/A</definedName>
    <definedName name="____AGK4_1_2_2">#N/A</definedName>
    <definedName name="____AGK4_1_3">#N/A</definedName>
    <definedName name="____AGK4_1_3_1">#N/A</definedName>
    <definedName name="____AGK4_1_3_2">#N/A</definedName>
    <definedName name="____AGK4_1_4">#N/A</definedName>
    <definedName name="____AGK4_1_4_1">#N/A</definedName>
    <definedName name="____AGK4_1_4_2">#N/A</definedName>
    <definedName name="____AGK4_1_5">#N/A</definedName>
    <definedName name="____AGK4_1_5_1">#N/A</definedName>
    <definedName name="____AGK4_1_5_2">#N/A</definedName>
    <definedName name="____AGK4_1_6">#N/A</definedName>
    <definedName name="____AGK4_1_6_1">#N/A</definedName>
    <definedName name="____AGK4_1_6_2">#N/A</definedName>
    <definedName name="____AGK4_1_7">#N/A</definedName>
    <definedName name="____AGK4_1_7_1">#N/A</definedName>
    <definedName name="____AGK4_1_7_2">#N/A</definedName>
    <definedName name="____AGK4_2">#N/A</definedName>
    <definedName name="____AGK4_2_1">#N/A</definedName>
    <definedName name="____AGK4_2_1_1">#N/A</definedName>
    <definedName name="____AGK4_2_2">#N/A</definedName>
    <definedName name="____AGK4_3">#N/A</definedName>
    <definedName name="____AGK4_3_1">#N/A</definedName>
    <definedName name="____AGK4_3_2">#N/A</definedName>
    <definedName name="____AGK4_4">#N/A</definedName>
    <definedName name="____AGK4_4_1">#N/A</definedName>
    <definedName name="____AGK4_4_2">#N/A</definedName>
    <definedName name="____AGK4_5">#N/A</definedName>
    <definedName name="____AGK4_5_1">#N/A</definedName>
    <definedName name="____AGK4_5_2">#N/A</definedName>
    <definedName name="____AGK4_6">#N/A</definedName>
    <definedName name="____AGK4_6_1">#N/A</definedName>
    <definedName name="____AGK4_6_2">#N/A</definedName>
    <definedName name="____AGK4_7">#N/A</definedName>
    <definedName name="____AGK4_7_1">#N/A</definedName>
    <definedName name="____AGK4_7_2">#N/A</definedName>
    <definedName name="____AGK5">#N/A</definedName>
    <definedName name="____AGK5_1">#N/A</definedName>
    <definedName name="____AGK5_1_1">#N/A</definedName>
    <definedName name="____AGK5_1_1_1">#N/A</definedName>
    <definedName name="____AGK5_1_1_1_1">#N/A</definedName>
    <definedName name="____AGK5_1_1_1_1_1">#N/A</definedName>
    <definedName name="____AGK5_1_1_2">#N/A</definedName>
    <definedName name="____AGK5_1_2">#N/A</definedName>
    <definedName name="____AGK5_1_2_1">#N/A</definedName>
    <definedName name="____AGK5_1_2_1_1">#N/A</definedName>
    <definedName name="____AGK5_1_2_2">#N/A</definedName>
    <definedName name="____AGK5_1_3">#N/A</definedName>
    <definedName name="____AGK5_1_3_1">#N/A</definedName>
    <definedName name="____AGK5_1_3_2">#N/A</definedName>
    <definedName name="____AGK5_1_4">#N/A</definedName>
    <definedName name="____AGK5_1_4_1">#N/A</definedName>
    <definedName name="____AGK5_1_4_2">#N/A</definedName>
    <definedName name="____AGK5_1_5">#N/A</definedName>
    <definedName name="____AGK5_1_5_1">#N/A</definedName>
    <definedName name="____AGK5_1_5_2">#N/A</definedName>
    <definedName name="____AGK5_1_6">#N/A</definedName>
    <definedName name="____AGK5_1_6_1">#N/A</definedName>
    <definedName name="____AGK5_1_6_2">#N/A</definedName>
    <definedName name="____AGK5_1_7">#N/A</definedName>
    <definedName name="____AGK5_1_7_1">#N/A</definedName>
    <definedName name="____AGK5_1_7_2">#N/A</definedName>
    <definedName name="____AGK5_2">#N/A</definedName>
    <definedName name="____AGK5_2_1">#N/A</definedName>
    <definedName name="____AGK5_2_1_1">#N/A</definedName>
    <definedName name="____AGK5_2_2">#N/A</definedName>
    <definedName name="____AGK5_3">#N/A</definedName>
    <definedName name="____AGK5_3_1">#N/A</definedName>
    <definedName name="____AGK5_3_2">#N/A</definedName>
    <definedName name="____AGK5_4">#N/A</definedName>
    <definedName name="____AGK5_4_1">#N/A</definedName>
    <definedName name="____AGK5_4_2">#N/A</definedName>
    <definedName name="____AGK5_5">#N/A</definedName>
    <definedName name="____AGK5_5_1">#N/A</definedName>
    <definedName name="____AGK5_5_2">#N/A</definedName>
    <definedName name="____AGK5_6">#N/A</definedName>
    <definedName name="____AGK5_6_1">#N/A</definedName>
    <definedName name="____AGK5_6_2">#N/A</definedName>
    <definedName name="____AGK5_7">#N/A</definedName>
    <definedName name="____AGK5_7_1">#N/A</definedName>
    <definedName name="____AGK5_7_2">#N/A</definedName>
    <definedName name="____KBA1">#N/A</definedName>
    <definedName name="____KBA1_1">#N/A</definedName>
    <definedName name="____KBA1_1_1">#N/A</definedName>
    <definedName name="____KBA1_1_1_1">#N/A</definedName>
    <definedName name="____KBA1_1_1_1_1">#N/A</definedName>
    <definedName name="____KBA1_1_1_1_1_1">#N/A</definedName>
    <definedName name="____KBA1_1_1_2">#N/A</definedName>
    <definedName name="____KBA1_1_2">#N/A</definedName>
    <definedName name="____KBA1_1_2_1">#N/A</definedName>
    <definedName name="____KBA1_1_2_1_1">#N/A</definedName>
    <definedName name="____KBA1_1_2_2">#N/A</definedName>
    <definedName name="____KBA1_1_3">#N/A</definedName>
    <definedName name="____KBA1_1_3_1">#N/A</definedName>
    <definedName name="____KBA1_1_3_2">#N/A</definedName>
    <definedName name="____KBA1_1_4">#N/A</definedName>
    <definedName name="____KBA1_1_4_1">#N/A</definedName>
    <definedName name="____KBA1_1_4_2">#N/A</definedName>
    <definedName name="____KBA1_1_5">#N/A</definedName>
    <definedName name="____KBA1_1_5_1">#N/A</definedName>
    <definedName name="____KBA1_1_5_2">#N/A</definedName>
    <definedName name="____KBA1_1_6">#N/A</definedName>
    <definedName name="____KBA1_1_6_1">#N/A</definedName>
    <definedName name="____KBA1_1_6_2">#N/A</definedName>
    <definedName name="____KBA1_1_7">#N/A</definedName>
    <definedName name="____KBA1_1_7_1">#N/A</definedName>
    <definedName name="____KBA1_1_7_2">#N/A</definedName>
    <definedName name="____KBA1_2">#N/A</definedName>
    <definedName name="____KBA1_2_1">#N/A</definedName>
    <definedName name="____KBA1_2_1_1">#N/A</definedName>
    <definedName name="____KBA1_2_2">#N/A</definedName>
    <definedName name="____KBA1_3">#N/A</definedName>
    <definedName name="____KBA1_3_1">#N/A</definedName>
    <definedName name="____KBA1_3_2">#N/A</definedName>
    <definedName name="____KBA1_4">#N/A</definedName>
    <definedName name="____KBA1_4_1">#N/A</definedName>
    <definedName name="____KBA1_4_2">#N/A</definedName>
    <definedName name="____KBA1_5">#N/A</definedName>
    <definedName name="____KBA1_5_1">#N/A</definedName>
    <definedName name="____KBA1_5_2">#N/A</definedName>
    <definedName name="____KBA1_6">#N/A</definedName>
    <definedName name="____KBA1_6_1">#N/A</definedName>
    <definedName name="____KBA1_6_2">#N/A</definedName>
    <definedName name="____KBA1_7">#N/A</definedName>
    <definedName name="____KBA1_7_1">#N/A</definedName>
    <definedName name="____KBA1_7_2">#N/A</definedName>
    <definedName name="____KBA2">#N/A</definedName>
    <definedName name="____KBA2_1">#N/A</definedName>
    <definedName name="____KBA2_1_1">#N/A</definedName>
    <definedName name="____KBA2_1_1_1">#N/A</definedName>
    <definedName name="____KBA2_1_1_1_1">#N/A</definedName>
    <definedName name="____KBA2_1_1_1_1_1">#N/A</definedName>
    <definedName name="____KBA2_1_1_2">#N/A</definedName>
    <definedName name="____KBA2_1_2">#N/A</definedName>
    <definedName name="____KBA2_1_2_1">#N/A</definedName>
    <definedName name="____KBA2_1_2_1_1">#N/A</definedName>
    <definedName name="____KBA2_1_2_2">#N/A</definedName>
    <definedName name="____KBA2_1_3">#N/A</definedName>
    <definedName name="____KBA2_1_3_1">#N/A</definedName>
    <definedName name="____KBA2_1_3_2">#N/A</definedName>
    <definedName name="____KBA2_1_4">#N/A</definedName>
    <definedName name="____KBA2_1_4_1">#N/A</definedName>
    <definedName name="____KBA2_1_4_2">#N/A</definedName>
    <definedName name="____KBA2_1_5">#N/A</definedName>
    <definedName name="____KBA2_1_5_1">#N/A</definedName>
    <definedName name="____KBA2_1_5_2">#N/A</definedName>
    <definedName name="____KBA2_1_6">#N/A</definedName>
    <definedName name="____KBA2_1_6_1">#N/A</definedName>
    <definedName name="____KBA2_1_6_2">#N/A</definedName>
    <definedName name="____KBA2_1_7">#N/A</definedName>
    <definedName name="____KBA2_1_7_1">#N/A</definedName>
    <definedName name="____KBA2_1_7_2">#N/A</definedName>
    <definedName name="____KBA2_2">#N/A</definedName>
    <definedName name="____KBA2_2_1">#N/A</definedName>
    <definedName name="____KBA2_2_1_1">#N/A</definedName>
    <definedName name="____KBA2_2_2">#N/A</definedName>
    <definedName name="____KBA2_3">#N/A</definedName>
    <definedName name="____KBA2_3_1">#N/A</definedName>
    <definedName name="____KBA2_3_2">#N/A</definedName>
    <definedName name="____KBA2_4">#N/A</definedName>
    <definedName name="____KBA2_4_1">#N/A</definedName>
    <definedName name="____KBA2_4_2">#N/A</definedName>
    <definedName name="____KBA2_5">#N/A</definedName>
    <definedName name="____KBA2_5_1">#N/A</definedName>
    <definedName name="____KBA2_5_2">#N/A</definedName>
    <definedName name="____KBA2_6">#N/A</definedName>
    <definedName name="____KBA2_6_1">#N/A</definedName>
    <definedName name="____KBA2_6_2">#N/A</definedName>
    <definedName name="____KBA2_7">#N/A</definedName>
    <definedName name="____KBA2_7_1">#N/A</definedName>
    <definedName name="____KBA2_7_2">#N/A</definedName>
    <definedName name="____KR1">#N/A</definedName>
    <definedName name="____KR1_1">#N/A</definedName>
    <definedName name="____KR1_1_1">#N/A</definedName>
    <definedName name="____KR1_1_1_1">#N/A</definedName>
    <definedName name="____KR1_1_1_1_1">#N/A</definedName>
    <definedName name="____KR1_1_1_1_1_1">#N/A</definedName>
    <definedName name="____KR1_1_1_2">#N/A</definedName>
    <definedName name="____KR1_1_2">#N/A</definedName>
    <definedName name="____KR1_1_2_1">#N/A</definedName>
    <definedName name="____KR1_1_2_1_1">#N/A</definedName>
    <definedName name="____KR1_1_2_2">#N/A</definedName>
    <definedName name="____KR1_1_3">#N/A</definedName>
    <definedName name="____KR1_1_3_1">#N/A</definedName>
    <definedName name="____KR1_1_3_2">#N/A</definedName>
    <definedName name="____KR1_1_4">#N/A</definedName>
    <definedName name="____KR1_1_4_1">#N/A</definedName>
    <definedName name="____KR1_1_4_2">#N/A</definedName>
    <definedName name="____KR1_1_5">#N/A</definedName>
    <definedName name="____KR1_1_5_1">#N/A</definedName>
    <definedName name="____KR1_1_5_2">#N/A</definedName>
    <definedName name="____KR1_1_6">#N/A</definedName>
    <definedName name="____KR1_1_6_1">#N/A</definedName>
    <definedName name="____KR1_1_6_2">#N/A</definedName>
    <definedName name="____KR1_1_7">#N/A</definedName>
    <definedName name="____KR1_1_7_1">#N/A</definedName>
    <definedName name="____KR1_1_7_2">#N/A</definedName>
    <definedName name="____KR1_2">#N/A</definedName>
    <definedName name="____KR1_2_1">#N/A</definedName>
    <definedName name="____KR1_2_1_1">#N/A</definedName>
    <definedName name="____KR1_2_2">#N/A</definedName>
    <definedName name="____KR1_3">#N/A</definedName>
    <definedName name="____KR1_3_1">#N/A</definedName>
    <definedName name="____KR1_3_2">#N/A</definedName>
    <definedName name="____KR1_4">#N/A</definedName>
    <definedName name="____KR1_4_1">#N/A</definedName>
    <definedName name="____KR1_4_2">#N/A</definedName>
    <definedName name="____KR1_5">#N/A</definedName>
    <definedName name="____KR1_5_1">#N/A</definedName>
    <definedName name="____KR1_5_2">#N/A</definedName>
    <definedName name="____KR1_6">#N/A</definedName>
    <definedName name="____KR1_6_1">#N/A</definedName>
    <definedName name="____KR1_6_2">#N/A</definedName>
    <definedName name="____KR1_7">#N/A</definedName>
    <definedName name="____KR1_7_1">#N/A</definedName>
    <definedName name="____KR1_7_2">#N/A</definedName>
    <definedName name="____KR2">#N/A</definedName>
    <definedName name="____KR2_1">#N/A</definedName>
    <definedName name="____KR2_1_1">#N/A</definedName>
    <definedName name="____KR2_1_1_1">#N/A</definedName>
    <definedName name="____KR2_1_1_1_1">#N/A</definedName>
    <definedName name="____KR2_1_1_1_1_1">#N/A</definedName>
    <definedName name="____KR2_1_1_2">#N/A</definedName>
    <definedName name="____KR2_1_2">#N/A</definedName>
    <definedName name="____KR2_1_2_1">#N/A</definedName>
    <definedName name="____KR2_1_2_1_1">#N/A</definedName>
    <definedName name="____KR2_1_2_2">#N/A</definedName>
    <definedName name="____KR2_1_3">#N/A</definedName>
    <definedName name="____KR2_1_3_1">#N/A</definedName>
    <definedName name="____KR2_1_3_2">#N/A</definedName>
    <definedName name="____KR2_1_4">#N/A</definedName>
    <definedName name="____KR2_1_4_1">#N/A</definedName>
    <definedName name="____KR2_1_4_2">#N/A</definedName>
    <definedName name="____KR2_1_5">#N/A</definedName>
    <definedName name="____KR2_1_5_1">#N/A</definedName>
    <definedName name="____KR2_1_5_2">#N/A</definedName>
    <definedName name="____KR2_1_6">#N/A</definedName>
    <definedName name="____KR2_1_6_1">#N/A</definedName>
    <definedName name="____KR2_1_6_2">#N/A</definedName>
    <definedName name="____KR2_1_7">#N/A</definedName>
    <definedName name="____KR2_1_7_1">#N/A</definedName>
    <definedName name="____KR2_1_7_2">#N/A</definedName>
    <definedName name="____KR2_2">#N/A</definedName>
    <definedName name="____KR2_2_1">#N/A</definedName>
    <definedName name="____KR2_2_1_1">#N/A</definedName>
    <definedName name="____KR2_2_2">#N/A</definedName>
    <definedName name="____KR2_3">#N/A</definedName>
    <definedName name="____KR2_3_1">#N/A</definedName>
    <definedName name="____KR2_3_2">#N/A</definedName>
    <definedName name="____KR2_4">#N/A</definedName>
    <definedName name="____KR2_4_1">#N/A</definedName>
    <definedName name="____KR2_4_2">#N/A</definedName>
    <definedName name="____KR2_5">#N/A</definedName>
    <definedName name="____KR2_5_1">#N/A</definedName>
    <definedName name="____KR2_5_2">#N/A</definedName>
    <definedName name="____KR2_6">#N/A</definedName>
    <definedName name="____KR2_6_1">#N/A</definedName>
    <definedName name="____KR2_6_2">#N/A</definedName>
    <definedName name="____KR2_7">#N/A</definedName>
    <definedName name="____KR2_7_1">#N/A</definedName>
    <definedName name="____KR2_7_2">#N/A</definedName>
    <definedName name="____KR3">#N/A</definedName>
    <definedName name="____KR3_1">#N/A</definedName>
    <definedName name="____KR3_1_1">#N/A</definedName>
    <definedName name="____KR3_1_1_1">#N/A</definedName>
    <definedName name="____KR3_1_1_1_1">#N/A</definedName>
    <definedName name="____KR3_1_1_1_1_1">#N/A</definedName>
    <definedName name="____KR3_1_1_2">#N/A</definedName>
    <definedName name="____KR3_1_2">#N/A</definedName>
    <definedName name="____KR3_1_2_1">#N/A</definedName>
    <definedName name="____KR3_1_2_1_1">#N/A</definedName>
    <definedName name="____KR3_1_2_2">#N/A</definedName>
    <definedName name="____KR3_1_3">#N/A</definedName>
    <definedName name="____KR3_1_3_1">#N/A</definedName>
    <definedName name="____KR3_1_3_2">#N/A</definedName>
    <definedName name="____KR3_1_4">#N/A</definedName>
    <definedName name="____KR3_1_4_1">#N/A</definedName>
    <definedName name="____KR3_1_4_2">#N/A</definedName>
    <definedName name="____KR3_1_5">#N/A</definedName>
    <definedName name="____KR3_1_5_1">#N/A</definedName>
    <definedName name="____KR3_1_5_2">#N/A</definedName>
    <definedName name="____KR3_1_6">#N/A</definedName>
    <definedName name="____KR3_1_6_1">#N/A</definedName>
    <definedName name="____KR3_1_6_2">#N/A</definedName>
    <definedName name="____KR3_1_7">#N/A</definedName>
    <definedName name="____KR3_1_7_1">#N/A</definedName>
    <definedName name="____KR3_1_7_2">#N/A</definedName>
    <definedName name="____KR3_2">#N/A</definedName>
    <definedName name="____KR3_2_1">#N/A</definedName>
    <definedName name="____KR3_2_1_1">#N/A</definedName>
    <definedName name="____KR3_2_2">#N/A</definedName>
    <definedName name="____KR3_3">#N/A</definedName>
    <definedName name="____KR3_3_1">#N/A</definedName>
    <definedName name="____KR3_3_2">#N/A</definedName>
    <definedName name="____KR3_4">#N/A</definedName>
    <definedName name="____KR3_4_1">#N/A</definedName>
    <definedName name="____KR3_4_2">#N/A</definedName>
    <definedName name="____KR3_5">#N/A</definedName>
    <definedName name="____KR3_5_1">#N/A</definedName>
    <definedName name="____KR3_5_2">#N/A</definedName>
    <definedName name="____KR3_6">#N/A</definedName>
    <definedName name="____KR3_6_1">#N/A</definedName>
    <definedName name="____KR3_6_2">#N/A</definedName>
    <definedName name="____KR3_7">#N/A</definedName>
    <definedName name="____KR3_7_1">#N/A</definedName>
    <definedName name="____KR3_7_2">#N/A</definedName>
    <definedName name="____KR4">#N/A</definedName>
    <definedName name="____KR4_1">#N/A</definedName>
    <definedName name="____KR4_1_1">#N/A</definedName>
    <definedName name="____KR4_1_1_1">#N/A</definedName>
    <definedName name="____KR4_1_1_1_1">#N/A</definedName>
    <definedName name="____KR4_1_1_1_1_1">#N/A</definedName>
    <definedName name="____KR4_1_1_2">#N/A</definedName>
    <definedName name="____KR4_1_2">#N/A</definedName>
    <definedName name="____KR4_1_2_1">#N/A</definedName>
    <definedName name="____KR4_1_2_1_1">#N/A</definedName>
    <definedName name="____KR4_1_2_2">#N/A</definedName>
    <definedName name="____KR4_1_3">#N/A</definedName>
    <definedName name="____KR4_1_3_1">#N/A</definedName>
    <definedName name="____KR4_1_3_2">#N/A</definedName>
    <definedName name="____KR4_1_4">#N/A</definedName>
    <definedName name="____KR4_1_4_1">#N/A</definedName>
    <definedName name="____KR4_1_4_2">#N/A</definedName>
    <definedName name="____KR4_1_5">#N/A</definedName>
    <definedName name="____KR4_1_5_1">#N/A</definedName>
    <definedName name="____KR4_1_5_2">#N/A</definedName>
    <definedName name="____KR4_1_6">#N/A</definedName>
    <definedName name="____KR4_1_6_1">#N/A</definedName>
    <definedName name="____KR4_1_6_2">#N/A</definedName>
    <definedName name="____KR4_1_7">#N/A</definedName>
    <definedName name="____KR4_1_7_1">#N/A</definedName>
    <definedName name="____KR4_1_7_2">#N/A</definedName>
    <definedName name="____KR4_2">#N/A</definedName>
    <definedName name="____KR4_2_1">#N/A</definedName>
    <definedName name="____KR4_2_1_1">#N/A</definedName>
    <definedName name="____KR4_2_2">#N/A</definedName>
    <definedName name="____KR4_3">#N/A</definedName>
    <definedName name="____KR4_3_1">#N/A</definedName>
    <definedName name="____KR4_3_2">#N/A</definedName>
    <definedName name="____KR4_4">#N/A</definedName>
    <definedName name="____KR4_4_1">#N/A</definedName>
    <definedName name="____KR4_4_2">#N/A</definedName>
    <definedName name="____KR4_5">#N/A</definedName>
    <definedName name="____KR4_5_1">#N/A</definedName>
    <definedName name="____KR4_5_2">#N/A</definedName>
    <definedName name="____KR4_6">#N/A</definedName>
    <definedName name="____KR4_6_1">#N/A</definedName>
    <definedName name="____KR4_6_2">#N/A</definedName>
    <definedName name="____KR4_7">#N/A</definedName>
    <definedName name="____KR4_7_1">#N/A</definedName>
    <definedName name="____KR4_7_2">#N/A</definedName>
    <definedName name="____KR5">#N/A</definedName>
    <definedName name="____KR5_1">#N/A</definedName>
    <definedName name="____KR5_1_1">#N/A</definedName>
    <definedName name="____KR5_1_1_1">#N/A</definedName>
    <definedName name="____KR5_1_1_1_1">#N/A</definedName>
    <definedName name="____KR5_1_1_1_1_1">#N/A</definedName>
    <definedName name="____KR5_1_1_2">#N/A</definedName>
    <definedName name="____KR5_1_2">#N/A</definedName>
    <definedName name="____KR5_1_2_1">#N/A</definedName>
    <definedName name="____KR5_1_2_1_1">#N/A</definedName>
    <definedName name="____KR5_1_2_2">#N/A</definedName>
    <definedName name="____KR5_1_3">#N/A</definedName>
    <definedName name="____KR5_1_3_1">#N/A</definedName>
    <definedName name="____KR5_1_3_2">#N/A</definedName>
    <definedName name="____KR5_1_4">#N/A</definedName>
    <definedName name="____KR5_1_4_1">#N/A</definedName>
    <definedName name="____KR5_1_4_2">#N/A</definedName>
    <definedName name="____KR5_1_5">#N/A</definedName>
    <definedName name="____KR5_1_5_1">#N/A</definedName>
    <definedName name="____KR5_1_5_2">#N/A</definedName>
    <definedName name="____KR5_1_6">#N/A</definedName>
    <definedName name="____KR5_1_6_1">#N/A</definedName>
    <definedName name="____KR5_1_6_2">#N/A</definedName>
    <definedName name="____KR5_1_7">#N/A</definedName>
    <definedName name="____KR5_1_7_1">#N/A</definedName>
    <definedName name="____KR5_1_7_2">#N/A</definedName>
    <definedName name="____KR5_2">#N/A</definedName>
    <definedName name="____KR5_2_1">#N/A</definedName>
    <definedName name="____KR5_2_1_1">#N/A</definedName>
    <definedName name="____KR5_2_2">#N/A</definedName>
    <definedName name="____KR5_3">#N/A</definedName>
    <definedName name="____KR5_3_1">#N/A</definedName>
    <definedName name="____KR5_3_2">#N/A</definedName>
    <definedName name="____KR5_4">#N/A</definedName>
    <definedName name="____KR5_4_1">#N/A</definedName>
    <definedName name="____KR5_4_2">#N/A</definedName>
    <definedName name="____KR5_5">#N/A</definedName>
    <definedName name="____KR5_5_1">#N/A</definedName>
    <definedName name="____KR5_5_2">#N/A</definedName>
    <definedName name="____KR5_6">#N/A</definedName>
    <definedName name="____KR5_6_1">#N/A</definedName>
    <definedName name="____KR5_6_2">#N/A</definedName>
    <definedName name="____KR5_7">#N/A</definedName>
    <definedName name="____KR5_7_1">#N/A</definedName>
    <definedName name="____KR5_7_2">#N/A</definedName>
    <definedName name="____LF1">#N/A</definedName>
    <definedName name="____LF1_1">#N/A</definedName>
    <definedName name="____LF1_1_1">#N/A</definedName>
    <definedName name="____LF1_1_1_1">#N/A</definedName>
    <definedName name="____LF1_1_1_1_1">#N/A</definedName>
    <definedName name="____LF1_1_1_1_1_1">#N/A</definedName>
    <definedName name="____LF1_1_1_2">#N/A</definedName>
    <definedName name="____LF1_1_2">#N/A</definedName>
    <definedName name="____LF1_1_2_1">#N/A</definedName>
    <definedName name="____LF1_1_2_1_1">#N/A</definedName>
    <definedName name="____LF1_1_2_2">#N/A</definedName>
    <definedName name="____LF1_1_3">#N/A</definedName>
    <definedName name="____LF1_1_3_1">#N/A</definedName>
    <definedName name="____LF1_1_3_2">#N/A</definedName>
    <definedName name="____LF1_1_4">#N/A</definedName>
    <definedName name="____LF1_1_4_1">#N/A</definedName>
    <definedName name="____LF1_1_4_2">#N/A</definedName>
    <definedName name="____LF1_1_5">#N/A</definedName>
    <definedName name="____LF1_1_5_1">#N/A</definedName>
    <definedName name="____LF1_1_5_2">#N/A</definedName>
    <definedName name="____LF1_1_6">#N/A</definedName>
    <definedName name="____LF1_1_6_1">#N/A</definedName>
    <definedName name="____LF1_1_6_2">#N/A</definedName>
    <definedName name="____LF1_1_7">#N/A</definedName>
    <definedName name="____LF1_1_7_1">#N/A</definedName>
    <definedName name="____LF1_1_7_2">#N/A</definedName>
    <definedName name="____LF1_2">#N/A</definedName>
    <definedName name="____LF1_2_1">#N/A</definedName>
    <definedName name="____LF1_2_1_1">#N/A</definedName>
    <definedName name="____LF1_2_2">#N/A</definedName>
    <definedName name="____LF1_3">#N/A</definedName>
    <definedName name="____LF1_3_1">#N/A</definedName>
    <definedName name="____LF1_3_2">#N/A</definedName>
    <definedName name="____LF1_4">#N/A</definedName>
    <definedName name="____LF1_4_1">#N/A</definedName>
    <definedName name="____LF1_4_2">#N/A</definedName>
    <definedName name="____LF1_5">#N/A</definedName>
    <definedName name="____LF1_5_1">#N/A</definedName>
    <definedName name="____LF1_5_2">#N/A</definedName>
    <definedName name="____LF1_6">#N/A</definedName>
    <definedName name="____LF1_6_1">#N/A</definedName>
    <definedName name="____LF1_6_2">#N/A</definedName>
    <definedName name="____LF1_7">#N/A</definedName>
    <definedName name="____LF1_7_1">#N/A</definedName>
    <definedName name="____LF1_7_2">#N/A</definedName>
    <definedName name="____MG1">#N/A</definedName>
    <definedName name="____MG1_1">#N/A</definedName>
    <definedName name="____MG1_1_1">#N/A</definedName>
    <definedName name="____MG1_1_1_1">#N/A</definedName>
    <definedName name="____MG1_1_1_1_1">#N/A</definedName>
    <definedName name="____MG1_1_1_1_1_1">#N/A</definedName>
    <definedName name="____MG1_1_1_2">#N/A</definedName>
    <definedName name="____MG1_1_2">#N/A</definedName>
    <definedName name="____MG1_1_2_1">#N/A</definedName>
    <definedName name="____MG1_1_2_1_1">#N/A</definedName>
    <definedName name="____MG1_1_2_2">#N/A</definedName>
    <definedName name="____MG1_1_3">#N/A</definedName>
    <definedName name="____MG1_1_3_1">#N/A</definedName>
    <definedName name="____MG1_1_3_2">#N/A</definedName>
    <definedName name="____MG1_1_4">#N/A</definedName>
    <definedName name="____MG1_1_4_1">#N/A</definedName>
    <definedName name="____MG1_1_4_2">#N/A</definedName>
    <definedName name="____MG1_1_5">#N/A</definedName>
    <definedName name="____MG1_1_5_1">#N/A</definedName>
    <definedName name="____MG1_1_5_2">#N/A</definedName>
    <definedName name="____MG1_1_6">#N/A</definedName>
    <definedName name="____MG1_1_6_1">#N/A</definedName>
    <definedName name="____MG1_1_6_2">#N/A</definedName>
    <definedName name="____MG1_1_7">#N/A</definedName>
    <definedName name="____MG1_1_7_1">#N/A</definedName>
    <definedName name="____MG1_1_7_2">#N/A</definedName>
    <definedName name="____MG1_2">#N/A</definedName>
    <definedName name="____MG1_2_1">#N/A</definedName>
    <definedName name="____MG1_2_1_1">#N/A</definedName>
    <definedName name="____MG1_2_2">#N/A</definedName>
    <definedName name="____MG1_3">#N/A</definedName>
    <definedName name="____MG1_3_1">#N/A</definedName>
    <definedName name="____MG1_3_2">#N/A</definedName>
    <definedName name="____MG1_4">#N/A</definedName>
    <definedName name="____MG1_4_1">#N/A</definedName>
    <definedName name="____MG1_4_2">#N/A</definedName>
    <definedName name="____MG1_5">#N/A</definedName>
    <definedName name="____MG1_5_1">#N/A</definedName>
    <definedName name="____MG1_5_2">#N/A</definedName>
    <definedName name="____MG1_6">#N/A</definedName>
    <definedName name="____MG1_6_1">#N/A</definedName>
    <definedName name="____MG1_6_2">#N/A</definedName>
    <definedName name="____MG1_7">#N/A</definedName>
    <definedName name="____MG1_7_1">#N/A</definedName>
    <definedName name="____MG1_7_2">#N/A</definedName>
    <definedName name="____MG2">#N/A</definedName>
    <definedName name="____MG2_1">#N/A</definedName>
    <definedName name="____MG2_1_1">#N/A</definedName>
    <definedName name="____MG2_1_1_1">#N/A</definedName>
    <definedName name="____MG2_1_1_1_1">#N/A</definedName>
    <definedName name="____MG2_1_1_1_1_1">#N/A</definedName>
    <definedName name="____MG2_1_1_2">#N/A</definedName>
    <definedName name="____MG2_1_2">#N/A</definedName>
    <definedName name="____MG2_1_2_1">#N/A</definedName>
    <definedName name="____MG2_1_2_1_1">#N/A</definedName>
    <definedName name="____MG2_1_2_2">#N/A</definedName>
    <definedName name="____MG2_1_3">#N/A</definedName>
    <definedName name="____MG2_1_3_1">#N/A</definedName>
    <definedName name="____MG2_1_3_2">#N/A</definedName>
    <definedName name="____MG2_1_4">#N/A</definedName>
    <definedName name="____MG2_1_4_1">#N/A</definedName>
    <definedName name="____MG2_1_4_2">#N/A</definedName>
    <definedName name="____MG2_1_5">#N/A</definedName>
    <definedName name="____MG2_1_5_1">#N/A</definedName>
    <definedName name="____MG2_1_5_2">#N/A</definedName>
    <definedName name="____MG2_1_6">#N/A</definedName>
    <definedName name="____MG2_1_6_1">#N/A</definedName>
    <definedName name="____MG2_1_6_2">#N/A</definedName>
    <definedName name="____MG2_1_7">#N/A</definedName>
    <definedName name="____MG2_1_7_1">#N/A</definedName>
    <definedName name="____MG2_1_7_2">#N/A</definedName>
    <definedName name="____MG2_2">#N/A</definedName>
    <definedName name="____MG2_2_1">#N/A</definedName>
    <definedName name="____MG2_2_1_1">#N/A</definedName>
    <definedName name="____MG2_2_2">#N/A</definedName>
    <definedName name="____MG2_3">#N/A</definedName>
    <definedName name="____MG2_3_1">#N/A</definedName>
    <definedName name="____MG2_3_2">#N/A</definedName>
    <definedName name="____MG2_4">#N/A</definedName>
    <definedName name="____MG2_4_1">#N/A</definedName>
    <definedName name="____MG2_4_2">#N/A</definedName>
    <definedName name="____MG2_5">#N/A</definedName>
    <definedName name="____MG2_5_1">#N/A</definedName>
    <definedName name="____MG2_5_2">#N/A</definedName>
    <definedName name="____MG2_6">#N/A</definedName>
    <definedName name="____MG2_6_1">#N/A</definedName>
    <definedName name="____MG2_6_2">#N/A</definedName>
    <definedName name="____MG2_7">#N/A</definedName>
    <definedName name="____MG2_7_1">#N/A</definedName>
    <definedName name="____MG2_7_2">#N/A</definedName>
    <definedName name="____MG3">#N/A</definedName>
    <definedName name="____MG3_1">#N/A</definedName>
    <definedName name="____MG3_1_1">#N/A</definedName>
    <definedName name="____MG3_1_1_1">#N/A</definedName>
    <definedName name="____MG3_1_1_1_1">#N/A</definedName>
    <definedName name="____MG3_1_1_1_1_1">#N/A</definedName>
    <definedName name="____MG3_1_1_2">#N/A</definedName>
    <definedName name="____MG3_1_2">#N/A</definedName>
    <definedName name="____MG3_1_2_1">#N/A</definedName>
    <definedName name="____MG3_1_2_1_1">#N/A</definedName>
    <definedName name="____MG3_1_2_2">#N/A</definedName>
    <definedName name="____MG3_1_3">#N/A</definedName>
    <definedName name="____MG3_1_3_1">#N/A</definedName>
    <definedName name="____MG3_1_3_2">#N/A</definedName>
    <definedName name="____MG3_1_4">#N/A</definedName>
    <definedName name="____MG3_1_4_1">#N/A</definedName>
    <definedName name="____MG3_1_4_2">#N/A</definedName>
    <definedName name="____MG3_1_5">#N/A</definedName>
    <definedName name="____MG3_1_5_1">#N/A</definedName>
    <definedName name="____MG3_1_5_2">#N/A</definedName>
    <definedName name="____MG3_1_6">#N/A</definedName>
    <definedName name="____MG3_1_6_1">#N/A</definedName>
    <definedName name="____MG3_1_6_2">#N/A</definedName>
    <definedName name="____MG3_1_7">#N/A</definedName>
    <definedName name="____MG3_1_7_1">#N/A</definedName>
    <definedName name="____MG3_1_7_2">#N/A</definedName>
    <definedName name="____MG3_2">#N/A</definedName>
    <definedName name="____MG3_2_1">#N/A</definedName>
    <definedName name="____MG3_2_1_1">#N/A</definedName>
    <definedName name="____MG3_2_2">#N/A</definedName>
    <definedName name="____MG3_3">#N/A</definedName>
    <definedName name="____MG3_3_1">#N/A</definedName>
    <definedName name="____MG3_3_2">#N/A</definedName>
    <definedName name="____MG3_4">#N/A</definedName>
    <definedName name="____MG3_4_1">#N/A</definedName>
    <definedName name="____MG3_4_2">#N/A</definedName>
    <definedName name="____MG3_5">#N/A</definedName>
    <definedName name="____MG3_5_1">#N/A</definedName>
    <definedName name="____MG3_5_2">#N/A</definedName>
    <definedName name="____MG3_6">#N/A</definedName>
    <definedName name="____MG3_6_1">#N/A</definedName>
    <definedName name="____MG3_6_2">#N/A</definedName>
    <definedName name="____MG3_7">#N/A</definedName>
    <definedName name="____MG3_7_1">#N/A</definedName>
    <definedName name="____MG3_7_2">#N/A</definedName>
    <definedName name="____MG4">#N/A</definedName>
    <definedName name="____MG4_1">#N/A</definedName>
    <definedName name="____MG4_1_1">#N/A</definedName>
    <definedName name="____MG4_1_1_1">#N/A</definedName>
    <definedName name="____MG4_1_1_1_1">#N/A</definedName>
    <definedName name="____MG4_1_1_1_1_1">#N/A</definedName>
    <definedName name="____MG4_1_1_2">#N/A</definedName>
    <definedName name="____MG4_1_2">#N/A</definedName>
    <definedName name="____MG4_1_2_1">#N/A</definedName>
    <definedName name="____MG4_1_2_1_1">#N/A</definedName>
    <definedName name="____MG4_1_2_2">#N/A</definedName>
    <definedName name="____MG4_1_3">#N/A</definedName>
    <definedName name="____MG4_1_3_1">#N/A</definedName>
    <definedName name="____MG4_1_3_2">#N/A</definedName>
    <definedName name="____MG4_1_4">#N/A</definedName>
    <definedName name="____MG4_1_4_1">#N/A</definedName>
    <definedName name="____MG4_1_4_2">#N/A</definedName>
    <definedName name="____MG4_1_5">#N/A</definedName>
    <definedName name="____MG4_1_5_1">#N/A</definedName>
    <definedName name="____MG4_1_5_2">#N/A</definedName>
    <definedName name="____MG4_1_6">#N/A</definedName>
    <definedName name="____MG4_1_6_1">#N/A</definedName>
    <definedName name="____MG4_1_6_2">#N/A</definedName>
    <definedName name="____MG4_1_7">#N/A</definedName>
    <definedName name="____MG4_1_7_1">#N/A</definedName>
    <definedName name="____MG4_1_7_2">#N/A</definedName>
    <definedName name="____MG4_2">#N/A</definedName>
    <definedName name="____MG4_2_1">#N/A</definedName>
    <definedName name="____MG4_2_1_1">#N/A</definedName>
    <definedName name="____MG4_2_2">#N/A</definedName>
    <definedName name="____MG4_3">#N/A</definedName>
    <definedName name="____MG4_3_1">#N/A</definedName>
    <definedName name="____MG4_3_2">#N/A</definedName>
    <definedName name="____MG4_4">#N/A</definedName>
    <definedName name="____MG4_4_1">#N/A</definedName>
    <definedName name="____MG4_4_2">#N/A</definedName>
    <definedName name="____MG4_5">#N/A</definedName>
    <definedName name="____MG4_5_1">#N/A</definedName>
    <definedName name="____MG4_5_2">#N/A</definedName>
    <definedName name="____MG4_6">#N/A</definedName>
    <definedName name="____MG4_6_1">#N/A</definedName>
    <definedName name="____MG4_6_2">#N/A</definedName>
    <definedName name="____MG4_7">#N/A</definedName>
    <definedName name="____MG4_7_1">#N/A</definedName>
    <definedName name="____MG4_7_2">#N/A</definedName>
    <definedName name="____MLZ1">#N/A</definedName>
    <definedName name="____MLZ1_1">#N/A</definedName>
    <definedName name="____MLZ1_1_1">#N/A</definedName>
    <definedName name="____MLZ1_1_1_1">#N/A</definedName>
    <definedName name="____MLZ1_1_1_1_1">#N/A</definedName>
    <definedName name="____MLZ1_1_1_1_1_1">#N/A</definedName>
    <definedName name="____MLZ1_1_1_2">#N/A</definedName>
    <definedName name="____MLZ1_1_2">#N/A</definedName>
    <definedName name="____MLZ1_1_2_1">#N/A</definedName>
    <definedName name="____MLZ1_1_2_1_1">#N/A</definedName>
    <definedName name="____MLZ1_1_2_2">#N/A</definedName>
    <definedName name="____MLZ1_1_3">#N/A</definedName>
    <definedName name="____MLZ1_1_3_1">#N/A</definedName>
    <definedName name="____MLZ1_1_3_2">#N/A</definedName>
    <definedName name="____MLZ1_1_4">#N/A</definedName>
    <definedName name="____MLZ1_1_4_1">#N/A</definedName>
    <definedName name="____MLZ1_1_4_2">#N/A</definedName>
    <definedName name="____MLZ1_1_5">#N/A</definedName>
    <definedName name="____MLZ1_1_5_1">#N/A</definedName>
    <definedName name="____MLZ1_1_5_2">#N/A</definedName>
    <definedName name="____MLZ1_1_6">#N/A</definedName>
    <definedName name="____MLZ1_1_6_1">#N/A</definedName>
    <definedName name="____MLZ1_1_6_2">#N/A</definedName>
    <definedName name="____MLZ1_1_7">#N/A</definedName>
    <definedName name="____MLZ1_1_7_1">#N/A</definedName>
    <definedName name="____MLZ1_1_7_2">#N/A</definedName>
    <definedName name="____MLZ1_2">#N/A</definedName>
    <definedName name="____MLZ1_2_1">#N/A</definedName>
    <definedName name="____MLZ1_2_1_1">#N/A</definedName>
    <definedName name="____MLZ1_2_2">#N/A</definedName>
    <definedName name="____MLZ1_3">#N/A</definedName>
    <definedName name="____MLZ1_3_1">#N/A</definedName>
    <definedName name="____MLZ1_3_2">#N/A</definedName>
    <definedName name="____MLZ1_4">#N/A</definedName>
    <definedName name="____MLZ1_4_1">#N/A</definedName>
    <definedName name="____MLZ1_4_2">#N/A</definedName>
    <definedName name="____MLZ1_5">#N/A</definedName>
    <definedName name="____MLZ1_5_1">#N/A</definedName>
    <definedName name="____MLZ1_5_2">#N/A</definedName>
    <definedName name="____MLZ1_6">#N/A</definedName>
    <definedName name="____MLZ1_6_1">#N/A</definedName>
    <definedName name="____MLZ1_6_2">#N/A</definedName>
    <definedName name="____MLZ1_7">#N/A</definedName>
    <definedName name="____MLZ1_7_1">#N/A</definedName>
    <definedName name="____MLZ1_7_2">#N/A</definedName>
    <definedName name="____mlz2">#N/A</definedName>
    <definedName name="____mlz2_1">#N/A</definedName>
    <definedName name="____mlz2_1_1">#N/A</definedName>
    <definedName name="____mlz2_1_1_1">#N/A</definedName>
    <definedName name="____mlz2_1_1_1_1">#N/A</definedName>
    <definedName name="____mlz2_1_1_1_1_1">#N/A</definedName>
    <definedName name="____mlz2_1_1_2">#N/A</definedName>
    <definedName name="____mlz2_1_2">#N/A</definedName>
    <definedName name="____mlz2_1_2_1">#N/A</definedName>
    <definedName name="____mlz2_1_2_1_1">#N/A</definedName>
    <definedName name="____mlz2_1_2_2">#N/A</definedName>
    <definedName name="____mlz2_1_3">#N/A</definedName>
    <definedName name="____mlz2_1_3_1">#N/A</definedName>
    <definedName name="____mlz2_1_3_2">#N/A</definedName>
    <definedName name="____mlz2_1_4">#N/A</definedName>
    <definedName name="____mlz2_1_4_1">#N/A</definedName>
    <definedName name="____mlz2_1_4_2">#N/A</definedName>
    <definedName name="____mlz2_1_5">#N/A</definedName>
    <definedName name="____mlz2_1_5_1">#N/A</definedName>
    <definedName name="____mlz2_1_5_2">#N/A</definedName>
    <definedName name="____mlz2_1_6">#N/A</definedName>
    <definedName name="____mlz2_1_6_1">#N/A</definedName>
    <definedName name="____mlz2_1_6_2">#N/A</definedName>
    <definedName name="____mlz2_1_7">#N/A</definedName>
    <definedName name="____mlz2_1_7_1">#N/A</definedName>
    <definedName name="____mlz2_1_7_2">#N/A</definedName>
    <definedName name="____mlz2_2">#N/A</definedName>
    <definedName name="____mlz2_2_1">#N/A</definedName>
    <definedName name="____mlz2_2_1_1">#N/A</definedName>
    <definedName name="____mlz2_2_2">#N/A</definedName>
    <definedName name="____mlz2_3">#N/A</definedName>
    <definedName name="____mlz2_3_1">#N/A</definedName>
    <definedName name="____mlz2_3_2">#N/A</definedName>
    <definedName name="____mlz2_4">#N/A</definedName>
    <definedName name="____mlz2_4_1">#N/A</definedName>
    <definedName name="____mlz2_4_2">#N/A</definedName>
    <definedName name="____mlz2_5">#N/A</definedName>
    <definedName name="____mlz2_5_1">#N/A</definedName>
    <definedName name="____mlz2_5_2">#N/A</definedName>
    <definedName name="____mlz2_6">#N/A</definedName>
    <definedName name="____mlz2_6_1">#N/A</definedName>
    <definedName name="____mlz2_6_2">#N/A</definedName>
    <definedName name="____mlz2_7">#N/A</definedName>
    <definedName name="____mlz2_7_1">#N/A</definedName>
    <definedName name="____mlz2_7_2">#N/A</definedName>
    <definedName name="____PAN1">#N/A</definedName>
    <definedName name="____PAN1_1">#N/A</definedName>
    <definedName name="____PAN1_1_1">#N/A</definedName>
    <definedName name="____PAN1_1_1_1">#N/A</definedName>
    <definedName name="____PAN1_1_1_1_1">#N/A</definedName>
    <definedName name="____PAN1_1_1_1_1_1">#N/A</definedName>
    <definedName name="____PAN1_1_1_2">#N/A</definedName>
    <definedName name="____PAN1_1_2">#N/A</definedName>
    <definedName name="____PAN1_1_2_1">#N/A</definedName>
    <definedName name="____PAN1_1_2_1_1">#N/A</definedName>
    <definedName name="____PAN1_1_2_2">#N/A</definedName>
    <definedName name="____PAN1_1_3">#N/A</definedName>
    <definedName name="____PAN1_1_3_1">#N/A</definedName>
    <definedName name="____PAN1_1_3_2">#N/A</definedName>
    <definedName name="____PAN1_1_4">#N/A</definedName>
    <definedName name="____PAN1_1_4_1">#N/A</definedName>
    <definedName name="____PAN1_1_4_2">#N/A</definedName>
    <definedName name="____PAN1_1_5">#N/A</definedName>
    <definedName name="____PAN1_1_5_1">#N/A</definedName>
    <definedName name="____PAN1_1_5_2">#N/A</definedName>
    <definedName name="____PAN1_1_6">#N/A</definedName>
    <definedName name="____PAN1_1_6_1">#N/A</definedName>
    <definedName name="____PAN1_1_6_2">#N/A</definedName>
    <definedName name="____PAN1_1_7">#N/A</definedName>
    <definedName name="____PAN1_1_7_1">#N/A</definedName>
    <definedName name="____PAN1_1_7_2">#N/A</definedName>
    <definedName name="____PAN1_2">#N/A</definedName>
    <definedName name="____PAN1_2_1">#N/A</definedName>
    <definedName name="____PAN1_2_1_1">#N/A</definedName>
    <definedName name="____PAN1_2_2">#N/A</definedName>
    <definedName name="____PAN1_3">#N/A</definedName>
    <definedName name="____PAN1_3_1">#N/A</definedName>
    <definedName name="____PAN1_3_2">#N/A</definedName>
    <definedName name="____PAN1_4">#N/A</definedName>
    <definedName name="____PAN1_4_1">#N/A</definedName>
    <definedName name="____PAN1_4_2">#N/A</definedName>
    <definedName name="____PAN1_5">#N/A</definedName>
    <definedName name="____PAN1_5_1">#N/A</definedName>
    <definedName name="____PAN1_5_2">#N/A</definedName>
    <definedName name="____PAN1_6">#N/A</definedName>
    <definedName name="____PAN1_6_1">#N/A</definedName>
    <definedName name="____PAN1_6_2">#N/A</definedName>
    <definedName name="____PAN1_7">#N/A</definedName>
    <definedName name="____PAN1_7_1">#N/A</definedName>
    <definedName name="____PAN1_7_2">#N/A</definedName>
    <definedName name="____PAN2">#N/A</definedName>
    <definedName name="____PAN2_1">#N/A</definedName>
    <definedName name="____PAN2_1_1">#N/A</definedName>
    <definedName name="____PAN2_1_1_1">#N/A</definedName>
    <definedName name="____PAN2_1_1_1_1">#N/A</definedName>
    <definedName name="____PAN2_1_1_1_1_1">#N/A</definedName>
    <definedName name="____PAN2_1_1_2">#N/A</definedName>
    <definedName name="____PAN2_1_2">#N/A</definedName>
    <definedName name="____PAN2_1_2_1">#N/A</definedName>
    <definedName name="____PAN2_1_2_1_1">#N/A</definedName>
    <definedName name="____PAN2_1_2_2">#N/A</definedName>
    <definedName name="____PAN2_1_3">#N/A</definedName>
    <definedName name="____PAN2_1_3_1">#N/A</definedName>
    <definedName name="____PAN2_1_3_2">#N/A</definedName>
    <definedName name="____PAN2_1_4">#N/A</definedName>
    <definedName name="____PAN2_1_4_1">#N/A</definedName>
    <definedName name="____PAN2_1_4_2">#N/A</definedName>
    <definedName name="____PAN2_1_5">#N/A</definedName>
    <definedName name="____PAN2_1_5_1">#N/A</definedName>
    <definedName name="____PAN2_1_5_2">#N/A</definedName>
    <definedName name="____PAN2_1_6">#N/A</definedName>
    <definedName name="____PAN2_1_6_1">#N/A</definedName>
    <definedName name="____PAN2_1_6_2">#N/A</definedName>
    <definedName name="____PAN2_1_7">#N/A</definedName>
    <definedName name="____PAN2_1_7_1">#N/A</definedName>
    <definedName name="____PAN2_1_7_2">#N/A</definedName>
    <definedName name="____PAN2_2">#N/A</definedName>
    <definedName name="____PAN2_2_1">#N/A</definedName>
    <definedName name="____PAN2_2_1_1">#N/A</definedName>
    <definedName name="____PAN2_2_2">#N/A</definedName>
    <definedName name="____PAN2_3">#N/A</definedName>
    <definedName name="____PAN2_3_1">#N/A</definedName>
    <definedName name="____PAN2_3_2">#N/A</definedName>
    <definedName name="____PAN2_4">#N/A</definedName>
    <definedName name="____PAN2_4_1">#N/A</definedName>
    <definedName name="____PAN2_4_2">#N/A</definedName>
    <definedName name="____PAN2_5">#N/A</definedName>
    <definedName name="____PAN2_5_1">#N/A</definedName>
    <definedName name="____PAN2_5_2">#N/A</definedName>
    <definedName name="____PAN2_6">#N/A</definedName>
    <definedName name="____PAN2_6_1">#N/A</definedName>
    <definedName name="____PAN2_6_2">#N/A</definedName>
    <definedName name="____PAN2_7">#N/A</definedName>
    <definedName name="____PAN2_7_1">#N/A</definedName>
    <definedName name="____PAN2_7_2">#N/A</definedName>
    <definedName name="____RSK1">#N/A</definedName>
    <definedName name="____RSK1_1">#N/A</definedName>
    <definedName name="____RSK1_1_1">#N/A</definedName>
    <definedName name="____RSK1_1_1_1">#N/A</definedName>
    <definedName name="____RSK1_1_1_1_1">#N/A</definedName>
    <definedName name="____RSK1_1_1_1_1_1">#N/A</definedName>
    <definedName name="____RSK1_1_1_2">#N/A</definedName>
    <definedName name="____RSK1_1_2">#N/A</definedName>
    <definedName name="____RSK1_1_2_1">#N/A</definedName>
    <definedName name="____RSK1_1_2_1_1">#N/A</definedName>
    <definedName name="____RSK1_1_2_2">#N/A</definedName>
    <definedName name="____RSK1_1_3">#N/A</definedName>
    <definedName name="____RSK1_1_3_1">#N/A</definedName>
    <definedName name="____RSK1_1_3_2">#N/A</definedName>
    <definedName name="____RSK1_1_4">#N/A</definedName>
    <definedName name="____RSK1_1_4_1">#N/A</definedName>
    <definedName name="____RSK1_1_4_2">#N/A</definedName>
    <definedName name="____RSK1_1_5">#N/A</definedName>
    <definedName name="____RSK1_1_5_1">#N/A</definedName>
    <definedName name="____RSK1_1_5_2">#N/A</definedName>
    <definedName name="____RSK1_1_6">#N/A</definedName>
    <definedName name="____RSK1_1_6_1">#N/A</definedName>
    <definedName name="____RSK1_1_6_2">#N/A</definedName>
    <definedName name="____RSK1_1_7">#N/A</definedName>
    <definedName name="____RSK1_1_7_1">#N/A</definedName>
    <definedName name="____RSK1_1_7_2">#N/A</definedName>
    <definedName name="____RSK1_2">#N/A</definedName>
    <definedName name="____RSK1_2_1">#N/A</definedName>
    <definedName name="____RSK1_2_1_1">#N/A</definedName>
    <definedName name="____RSK1_2_2">#N/A</definedName>
    <definedName name="____RSK1_3">#N/A</definedName>
    <definedName name="____RSK1_3_1">#N/A</definedName>
    <definedName name="____RSK1_3_2">#N/A</definedName>
    <definedName name="____RSK1_4">#N/A</definedName>
    <definedName name="____RSK1_4_1">#N/A</definedName>
    <definedName name="____RSK1_4_2">#N/A</definedName>
    <definedName name="____RSK1_5">#N/A</definedName>
    <definedName name="____RSK1_5_1">#N/A</definedName>
    <definedName name="____RSK1_5_2">#N/A</definedName>
    <definedName name="____RSK1_6">#N/A</definedName>
    <definedName name="____RSK1_6_1">#N/A</definedName>
    <definedName name="____RSK1_6_2">#N/A</definedName>
    <definedName name="____RSK1_7">#N/A</definedName>
    <definedName name="____RSK1_7_1">#N/A</definedName>
    <definedName name="____RSK1_7_2">#N/A</definedName>
    <definedName name="____RSK2">#N/A</definedName>
    <definedName name="____RSK2_1">#N/A</definedName>
    <definedName name="____RSK2_1_1">#N/A</definedName>
    <definedName name="____RSK2_1_1_1">#N/A</definedName>
    <definedName name="____RSK2_1_1_1_1">#N/A</definedName>
    <definedName name="____RSK2_1_1_1_1_1">#N/A</definedName>
    <definedName name="____RSK2_1_1_2">#N/A</definedName>
    <definedName name="____RSK2_1_2">#N/A</definedName>
    <definedName name="____RSK2_1_2_1">#N/A</definedName>
    <definedName name="____RSK2_1_2_1_1">#N/A</definedName>
    <definedName name="____RSK2_1_2_2">#N/A</definedName>
    <definedName name="____RSK2_1_3">#N/A</definedName>
    <definedName name="____RSK2_1_3_1">#N/A</definedName>
    <definedName name="____RSK2_1_3_2">#N/A</definedName>
    <definedName name="____RSK2_1_4">#N/A</definedName>
    <definedName name="____RSK2_1_4_1">#N/A</definedName>
    <definedName name="____RSK2_1_4_2">#N/A</definedName>
    <definedName name="____RSK2_1_5">#N/A</definedName>
    <definedName name="____RSK2_1_5_1">#N/A</definedName>
    <definedName name="____RSK2_1_5_2">#N/A</definedName>
    <definedName name="____RSK2_1_6">#N/A</definedName>
    <definedName name="____RSK2_1_6_1">#N/A</definedName>
    <definedName name="____RSK2_1_6_2">#N/A</definedName>
    <definedName name="____RSK2_1_7">#N/A</definedName>
    <definedName name="____RSK2_1_7_1">#N/A</definedName>
    <definedName name="____RSK2_1_7_2">#N/A</definedName>
    <definedName name="____RSK2_2">#N/A</definedName>
    <definedName name="____RSK2_2_1">#N/A</definedName>
    <definedName name="____RSK2_2_1_1">#N/A</definedName>
    <definedName name="____RSK2_2_2">#N/A</definedName>
    <definedName name="____RSK2_3">#N/A</definedName>
    <definedName name="____RSK2_3_1">#N/A</definedName>
    <definedName name="____RSK2_3_2">#N/A</definedName>
    <definedName name="____RSK2_4">#N/A</definedName>
    <definedName name="____RSK2_4_1">#N/A</definedName>
    <definedName name="____RSK2_4_2">#N/A</definedName>
    <definedName name="____RSK2_5">#N/A</definedName>
    <definedName name="____RSK2_5_1">#N/A</definedName>
    <definedName name="____RSK2_5_2">#N/A</definedName>
    <definedName name="____RSK2_6">#N/A</definedName>
    <definedName name="____RSK2_6_1">#N/A</definedName>
    <definedName name="____RSK2_6_2">#N/A</definedName>
    <definedName name="____RSK2_7">#N/A</definedName>
    <definedName name="____RSK2_7_1">#N/A</definedName>
    <definedName name="____RSK2_7_2">#N/A</definedName>
    <definedName name="____RSK3">#N/A</definedName>
    <definedName name="____RSK3_1">#N/A</definedName>
    <definedName name="____RSK3_1_1">#N/A</definedName>
    <definedName name="____RSK3_1_1_1">#N/A</definedName>
    <definedName name="____RSK3_1_1_1_1">#N/A</definedName>
    <definedName name="____RSK3_1_1_1_1_1">#N/A</definedName>
    <definedName name="____RSK3_1_1_2">#N/A</definedName>
    <definedName name="____RSK3_1_2">#N/A</definedName>
    <definedName name="____RSK3_1_2_1">#N/A</definedName>
    <definedName name="____RSK3_1_2_1_1">#N/A</definedName>
    <definedName name="____RSK3_1_2_2">#N/A</definedName>
    <definedName name="____RSK3_1_3">#N/A</definedName>
    <definedName name="____RSK3_1_3_1">#N/A</definedName>
    <definedName name="____RSK3_1_3_2">#N/A</definedName>
    <definedName name="____RSK3_1_4">#N/A</definedName>
    <definedName name="____RSK3_1_4_1">#N/A</definedName>
    <definedName name="____RSK3_1_4_2">#N/A</definedName>
    <definedName name="____RSK3_1_5">#N/A</definedName>
    <definedName name="____RSK3_1_5_1">#N/A</definedName>
    <definedName name="____RSK3_1_5_2">#N/A</definedName>
    <definedName name="____RSK3_1_6">#N/A</definedName>
    <definedName name="____RSK3_1_6_1">#N/A</definedName>
    <definedName name="____RSK3_1_6_2">#N/A</definedName>
    <definedName name="____RSK3_1_7">#N/A</definedName>
    <definedName name="____RSK3_1_7_1">#N/A</definedName>
    <definedName name="____RSK3_1_7_2">#N/A</definedName>
    <definedName name="____RSK3_2">#N/A</definedName>
    <definedName name="____RSK3_2_1">#N/A</definedName>
    <definedName name="____RSK3_2_1_1">#N/A</definedName>
    <definedName name="____RSK3_2_2">#N/A</definedName>
    <definedName name="____RSK3_3">#N/A</definedName>
    <definedName name="____RSK3_3_1">#N/A</definedName>
    <definedName name="____RSK3_3_2">#N/A</definedName>
    <definedName name="____RSK3_4">#N/A</definedName>
    <definedName name="____RSK3_4_1">#N/A</definedName>
    <definedName name="____RSK3_4_2">#N/A</definedName>
    <definedName name="____RSK3_5">#N/A</definedName>
    <definedName name="____RSK3_5_1">#N/A</definedName>
    <definedName name="____RSK3_5_2">#N/A</definedName>
    <definedName name="____RSK3_6">#N/A</definedName>
    <definedName name="____RSK3_6_1">#N/A</definedName>
    <definedName name="____RSK3_6_2">#N/A</definedName>
    <definedName name="____RSK3_7">#N/A</definedName>
    <definedName name="____RSK3_7_1">#N/A</definedName>
    <definedName name="____RSK3_7_2">#N/A</definedName>
    <definedName name="___AGK1">#N/A</definedName>
    <definedName name="___AGK1_1">#N/A</definedName>
    <definedName name="___AGK1_1_1">#N/A</definedName>
    <definedName name="___AGK1_1_1_1">#N/A</definedName>
    <definedName name="___AGK1_1_1_1_1">#N/A</definedName>
    <definedName name="___AGK1_1_1_1_1_1">#N/A</definedName>
    <definedName name="___AGK1_1_1_2">#N/A</definedName>
    <definedName name="___AGK1_1_2">#N/A</definedName>
    <definedName name="___AGK1_1_2_1">#N/A</definedName>
    <definedName name="___AGK1_1_2_1_1">#N/A</definedName>
    <definedName name="___AGK1_1_2_2">#N/A</definedName>
    <definedName name="___AGK1_1_3">#N/A</definedName>
    <definedName name="___AGK1_1_3_1">#N/A</definedName>
    <definedName name="___AGK1_1_3_2">#N/A</definedName>
    <definedName name="___AGK1_1_4">#N/A</definedName>
    <definedName name="___AGK1_1_4_1">#N/A</definedName>
    <definedName name="___AGK1_1_4_2">#N/A</definedName>
    <definedName name="___AGK1_1_5">#N/A</definedName>
    <definedName name="___AGK1_1_5_1">#N/A</definedName>
    <definedName name="___AGK1_1_5_2">#N/A</definedName>
    <definedName name="___AGK1_1_6">#N/A</definedName>
    <definedName name="___AGK1_1_6_1">#N/A</definedName>
    <definedName name="___AGK1_1_6_2">#N/A</definedName>
    <definedName name="___AGK1_1_7">#N/A</definedName>
    <definedName name="___AGK1_1_7_1">#N/A</definedName>
    <definedName name="___AGK1_1_7_2">#N/A</definedName>
    <definedName name="___AGK1_2">#N/A</definedName>
    <definedName name="___AGK1_2_1">#N/A</definedName>
    <definedName name="___AGK1_2_1_1">#N/A</definedName>
    <definedName name="___AGK1_2_2">#N/A</definedName>
    <definedName name="___AGK1_3">#N/A</definedName>
    <definedName name="___AGK1_3_1">#N/A</definedName>
    <definedName name="___AGK1_3_2">#N/A</definedName>
    <definedName name="___AGK1_4">#N/A</definedName>
    <definedName name="___AGK1_4_1">#N/A</definedName>
    <definedName name="___AGK1_4_2">#N/A</definedName>
    <definedName name="___AGK1_5">#N/A</definedName>
    <definedName name="___AGK1_5_1">#N/A</definedName>
    <definedName name="___AGK1_5_2">#N/A</definedName>
    <definedName name="___AGK1_6">#N/A</definedName>
    <definedName name="___AGK1_6_1">#N/A</definedName>
    <definedName name="___AGK1_6_2">#N/A</definedName>
    <definedName name="___AGK1_7">#N/A</definedName>
    <definedName name="___AGK1_7_1">#N/A</definedName>
    <definedName name="___AGK1_7_2">#N/A</definedName>
    <definedName name="___AGK2">#N/A</definedName>
    <definedName name="___AGK2_1">#N/A</definedName>
    <definedName name="___AGK2_1_1">#N/A</definedName>
    <definedName name="___AGK2_1_1_1">#N/A</definedName>
    <definedName name="___AGK2_1_1_1_1">#N/A</definedName>
    <definedName name="___AGK2_1_1_1_1_1">#N/A</definedName>
    <definedName name="___AGK2_1_1_2">#N/A</definedName>
    <definedName name="___AGK2_1_2">#N/A</definedName>
    <definedName name="___AGK2_1_2_1">#N/A</definedName>
    <definedName name="___AGK2_1_2_1_1">#N/A</definedName>
    <definedName name="___AGK2_1_2_2">#N/A</definedName>
    <definedName name="___AGK2_1_3">#N/A</definedName>
    <definedName name="___AGK2_1_3_1">#N/A</definedName>
    <definedName name="___AGK2_1_3_2">#N/A</definedName>
    <definedName name="___AGK2_1_4">#N/A</definedName>
    <definedName name="___AGK2_1_4_1">#N/A</definedName>
    <definedName name="___AGK2_1_4_2">#N/A</definedName>
    <definedName name="___AGK2_1_5">#N/A</definedName>
    <definedName name="___AGK2_1_5_1">#N/A</definedName>
    <definedName name="___AGK2_1_5_2">#N/A</definedName>
    <definedName name="___AGK2_1_6">#N/A</definedName>
    <definedName name="___AGK2_1_6_1">#N/A</definedName>
    <definedName name="___AGK2_1_6_2">#N/A</definedName>
    <definedName name="___AGK2_1_7">#N/A</definedName>
    <definedName name="___AGK2_1_7_1">#N/A</definedName>
    <definedName name="___AGK2_1_7_2">#N/A</definedName>
    <definedName name="___AGK2_2">#N/A</definedName>
    <definedName name="___AGK2_2_1">#N/A</definedName>
    <definedName name="___AGK2_2_1_1">#N/A</definedName>
    <definedName name="___AGK2_2_2">#N/A</definedName>
    <definedName name="___AGK2_3">#N/A</definedName>
    <definedName name="___AGK2_3_1">#N/A</definedName>
    <definedName name="___AGK2_3_2">#N/A</definedName>
    <definedName name="___AGK2_4">#N/A</definedName>
    <definedName name="___AGK2_4_1">#N/A</definedName>
    <definedName name="___AGK2_4_2">#N/A</definedName>
    <definedName name="___AGK2_5">#N/A</definedName>
    <definedName name="___AGK2_5_1">#N/A</definedName>
    <definedName name="___AGK2_5_2">#N/A</definedName>
    <definedName name="___AGK2_6">#N/A</definedName>
    <definedName name="___AGK2_6_1">#N/A</definedName>
    <definedName name="___AGK2_6_2">#N/A</definedName>
    <definedName name="___AGK2_7">#N/A</definedName>
    <definedName name="___AGK2_7_1">#N/A</definedName>
    <definedName name="___AGK2_7_2">#N/A</definedName>
    <definedName name="___AGK3">#N/A</definedName>
    <definedName name="___AGK3_1">#N/A</definedName>
    <definedName name="___AGK3_1_1">#N/A</definedName>
    <definedName name="___AGK3_1_1_1">#N/A</definedName>
    <definedName name="___AGK3_1_1_1_1">#N/A</definedName>
    <definedName name="___AGK3_1_1_1_1_1">#N/A</definedName>
    <definedName name="___AGK3_1_1_2">#N/A</definedName>
    <definedName name="___AGK3_1_2">#N/A</definedName>
    <definedName name="___AGK3_1_2_1">#N/A</definedName>
    <definedName name="___AGK3_1_2_1_1">#N/A</definedName>
    <definedName name="___AGK3_1_2_2">#N/A</definedName>
    <definedName name="___AGK3_1_3">#N/A</definedName>
    <definedName name="___AGK3_1_3_1">#N/A</definedName>
    <definedName name="___AGK3_1_3_2">#N/A</definedName>
    <definedName name="___AGK3_1_4">#N/A</definedName>
    <definedName name="___AGK3_1_4_1">#N/A</definedName>
    <definedName name="___AGK3_1_4_2">#N/A</definedName>
    <definedName name="___AGK3_1_5">#N/A</definedName>
    <definedName name="___AGK3_1_5_1">#N/A</definedName>
    <definedName name="___AGK3_1_5_2">#N/A</definedName>
    <definedName name="___AGK3_1_6">#N/A</definedName>
    <definedName name="___AGK3_1_6_1">#N/A</definedName>
    <definedName name="___AGK3_1_6_2">#N/A</definedName>
    <definedName name="___AGK3_1_7">#N/A</definedName>
    <definedName name="___AGK3_1_7_1">#N/A</definedName>
    <definedName name="___AGK3_1_7_2">#N/A</definedName>
    <definedName name="___AGK3_2">#N/A</definedName>
    <definedName name="___AGK3_2_1">#N/A</definedName>
    <definedName name="___AGK3_2_1_1">#N/A</definedName>
    <definedName name="___AGK3_2_2">#N/A</definedName>
    <definedName name="___AGK3_3">#N/A</definedName>
    <definedName name="___AGK3_3_1">#N/A</definedName>
    <definedName name="___AGK3_3_2">#N/A</definedName>
    <definedName name="___AGK3_4">#N/A</definedName>
    <definedName name="___AGK3_4_1">#N/A</definedName>
    <definedName name="___AGK3_4_2">#N/A</definedName>
    <definedName name="___AGK3_5">#N/A</definedName>
    <definedName name="___AGK3_5_1">#N/A</definedName>
    <definedName name="___AGK3_5_2">#N/A</definedName>
    <definedName name="___AGK3_6">#N/A</definedName>
    <definedName name="___AGK3_6_1">#N/A</definedName>
    <definedName name="___AGK3_6_2">#N/A</definedName>
    <definedName name="___AGK3_7">#N/A</definedName>
    <definedName name="___AGK3_7_1">#N/A</definedName>
    <definedName name="___AGK3_7_2">#N/A</definedName>
    <definedName name="___AGK4">#N/A</definedName>
    <definedName name="___AGK4_1">#N/A</definedName>
    <definedName name="___AGK4_1_1">#N/A</definedName>
    <definedName name="___AGK4_1_1_1">#N/A</definedName>
    <definedName name="___AGK4_1_1_1_1">#N/A</definedName>
    <definedName name="___AGK4_1_1_1_1_1">#N/A</definedName>
    <definedName name="___AGK4_1_1_2">#N/A</definedName>
    <definedName name="___AGK4_1_2">#N/A</definedName>
    <definedName name="___AGK4_1_2_1">#N/A</definedName>
    <definedName name="___AGK4_1_2_1_1">#N/A</definedName>
    <definedName name="___AGK4_1_2_2">#N/A</definedName>
    <definedName name="___AGK4_1_3">#N/A</definedName>
    <definedName name="___AGK4_1_3_1">#N/A</definedName>
    <definedName name="___AGK4_1_3_2">#N/A</definedName>
    <definedName name="___AGK4_1_4">#N/A</definedName>
    <definedName name="___AGK4_1_4_1">#N/A</definedName>
    <definedName name="___AGK4_1_4_2">#N/A</definedName>
    <definedName name="___AGK4_1_5">#N/A</definedName>
    <definedName name="___AGK4_1_5_1">#N/A</definedName>
    <definedName name="___AGK4_1_5_2">#N/A</definedName>
    <definedName name="___AGK4_1_6">#N/A</definedName>
    <definedName name="___AGK4_1_6_1">#N/A</definedName>
    <definedName name="___AGK4_1_6_2">#N/A</definedName>
    <definedName name="___AGK4_1_7">#N/A</definedName>
    <definedName name="___AGK4_1_7_1">#N/A</definedName>
    <definedName name="___AGK4_1_7_2">#N/A</definedName>
    <definedName name="___AGK4_2">#N/A</definedName>
    <definedName name="___AGK4_2_1">#N/A</definedName>
    <definedName name="___AGK4_2_1_1">#N/A</definedName>
    <definedName name="___AGK4_2_2">#N/A</definedName>
    <definedName name="___AGK4_3">#N/A</definedName>
    <definedName name="___AGK4_3_1">#N/A</definedName>
    <definedName name="___AGK4_3_2">#N/A</definedName>
    <definedName name="___AGK4_4">#N/A</definedName>
    <definedName name="___AGK4_4_1">#N/A</definedName>
    <definedName name="___AGK4_4_2">#N/A</definedName>
    <definedName name="___AGK4_5">#N/A</definedName>
    <definedName name="___AGK4_5_1">#N/A</definedName>
    <definedName name="___AGK4_5_2">#N/A</definedName>
    <definedName name="___AGK4_6">#N/A</definedName>
    <definedName name="___AGK4_6_1">#N/A</definedName>
    <definedName name="___AGK4_6_2">#N/A</definedName>
    <definedName name="___AGK4_7">#N/A</definedName>
    <definedName name="___AGK4_7_1">#N/A</definedName>
    <definedName name="___AGK4_7_2">#N/A</definedName>
    <definedName name="___AGK5">#N/A</definedName>
    <definedName name="___AGK5_1">#N/A</definedName>
    <definedName name="___AGK5_1_1">#N/A</definedName>
    <definedName name="___AGK5_1_1_1">#N/A</definedName>
    <definedName name="___AGK5_1_1_1_1">#N/A</definedName>
    <definedName name="___AGK5_1_1_1_1_1">#N/A</definedName>
    <definedName name="___AGK5_1_1_2">#N/A</definedName>
    <definedName name="___AGK5_1_2">#N/A</definedName>
    <definedName name="___AGK5_1_2_1">#N/A</definedName>
    <definedName name="___AGK5_1_2_1_1">#N/A</definedName>
    <definedName name="___AGK5_1_2_2">#N/A</definedName>
    <definedName name="___AGK5_1_3">#N/A</definedName>
    <definedName name="___AGK5_1_3_1">#N/A</definedName>
    <definedName name="___AGK5_1_3_2">#N/A</definedName>
    <definedName name="___AGK5_1_4">#N/A</definedName>
    <definedName name="___AGK5_1_4_1">#N/A</definedName>
    <definedName name="___AGK5_1_4_2">#N/A</definedName>
    <definedName name="___AGK5_1_5">#N/A</definedName>
    <definedName name="___AGK5_1_5_1">#N/A</definedName>
    <definedName name="___AGK5_1_5_2">#N/A</definedName>
    <definedName name="___AGK5_1_6">#N/A</definedName>
    <definedName name="___AGK5_1_6_1">#N/A</definedName>
    <definedName name="___AGK5_1_6_2">#N/A</definedName>
    <definedName name="___AGK5_1_7">#N/A</definedName>
    <definedName name="___AGK5_1_7_1">#N/A</definedName>
    <definedName name="___AGK5_1_7_2">#N/A</definedName>
    <definedName name="___AGK5_2">#N/A</definedName>
    <definedName name="___AGK5_2_1">#N/A</definedName>
    <definedName name="___AGK5_2_1_1">#N/A</definedName>
    <definedName name="___AGK5_2_2">#N/A</definedName>
    <definedName name="___AGK5_3">#N/A</definedName>
    <definedName name="___AGK5_3_1">#N/A</definedName>
    <definedName name="___AGK5_3_2">#N/A</definedName>
    <definedName name="___AGK5_4">#N/A</definedName>
    <definedName name="___AGK5_4_1">#N/A</definedName>
    <definedName name="___AGK5_4_2">#N/A</definedName>
    <definedName name="___AGK5_5">#N/A</definedName>
    <definedName name="___AGK5_5_1">#N/A</definedName>
    <definedName name="___AGK5_5_2">#N/A</definedName>
    <definedName name="___AGK5_6">#N/A</definedName>
    <definedName name="___AGK5_6_1">#N/A</definedName>
    <definedName name="___AGK5_6_2">#N/A</definedName>
    <definedName name="___AGK5_7">#N/A</definedName>
    <definedName name="___AGK5_7_1">#N/A</definedName>
    <definedName name="___AGK5_7_2">#N/A</definedName>
    <definedName name="___KBA1">#N/A</definedName>
    <definedName name="___KBA1_1">#N/A</definedName>
    <definedName name="___KBA1_1_1">#N/A</definedName>
    <definedName name="___KBA1_1_1_1">#N/A</definedName>
    <definedName name="___KBA1_1_1_1_1">#N/A</definedName>
    <definedName name="___KBA1_1_1_1_1_1">#N/A</definedName>
    <definedName name="___KBA1_1_1_2">#N/A</definedName>
    <definedName name="___KBA1_1_2">#N/A</definedName>
    <definedName name="___KBA1_1_2_1">#N/A</definedName>
    <definedName name="___KBA1_1_2_1_1">#N/A</definedName>
    <definedName name="___KBA1_1_2_2">#N/A</definedName>
    <definedName name="___KBA1_1_3">#N/A</definedName>
    <definedName name="___KBA1_1_3_1">#N/A</definedName>
    <definedName name="___KBA1_1_3_2">#N/A</definedName>
    <definedName name="___KBA1_1_4">#N/A</definedName>
    <definedName name="___KBA1_1_4_1">#N/A</definedName>
    <definedName name="___KBA1_1_4_2">#N/A</definedName>
    <definedName name="___KBA1_1_5">#N/A</definedName>
    <definedName name="___KBA1_1_5_1">#N/A</definedName>
    <definedName name="___KBA1_1_5_2">#N/A</definedName>
    <definedName name="___KBA1_1_6">#N/A</definedName>
    <definedName name="___KBA1_1_6_1">#N/A</definedName>
    <definedName name="___KBA1_1_6_2">#N/A</definedName>
    <definedName name="___KBA1_1_7">#N/A</definedName>
    <definedName name="___KBA1_1_7_1">#N/A</definedName>
    <definedName name="___KBA1_1_7_2">#N/A</definedName>
    <definedName name="___KBA1_2">#N/A</definedName>
    <definedName name="___KBA1_2_1">#N/A</definedName>
    <definedName name="___KBA1_2_1_1">#N/A</definedName>
    <definedName name="___KBA1_2_2">#N/A</definedName>
    <definedName name="___KBA1_3">#N/A</definedName>
    <definedName name="___KBA1_3_1">#N/A</definedName>
    <definedName name="___KBA1_3_2">#N/A</definedName>
    <definedName name="___KBA1_4">#N/A</definedName>
    <definedName name="___KBA1_4_1">#N/A</definedName>
    <definedName name="___KBA1_4_2">#N/A</definedName>
    <definedName name="___KBA1_5">#N/A</definedName>
    <definedName name="___KBA1_5_1">#N/A</definedName>
    <definedName name="___KBA1_5_2">#N/A</definedName>
    <definedName name="___KBA1_6">#N/A</definedName>
    <definedName name="___KBA1_6_1">#N/A</definedName>
    <definedName name="___KBA1_6_2">#N/A</definedName>
    <definedName name="___KBA1_7">#N/A</definedName>
    <definedName name="___KBA1_7_1">#N/A</definedName>
    <definedName name="___KBA1_7_2">#N/A</definedName>
    <definedName name="___KBA2">#N/A</definedName>
    <definedName name="___KBA2_1">#N/A</definedName>
    <definedName name="___KBA2_1_1">#N/A</definedName>
    <definedName name="___KBA2_1_1_1">#N/A</definedName>
    <definedName name="___KBA2_1_1_1_1">#N/A</definedName>
    <definedName name="___KBA2_1_1_1_1_1">#N/A</definedName>
    <definedName name="___KBA2_1_1_2">#N/A</definedName>
    <definedName name="___KBA2_1_2">#N/A</definedName>
    <definedName name="___KBA2_1_2_1">#N/A</definedName>
    <definedName name="___KBA2_1_2_1_1">#N/A</definedName>
    <definedName name="___KBA2_1_2_2">#N/A</definedName>
    <definedName name="___KBA2_1_3">#N/A</definedName>
    <definedName name="___KBA2_1_3_1">#N/A</definedName>
    <definedName name="___KBA2_1_3_2">#N/A</definedName>
    <definedName name="___KBA2_1_4">#N/A</definedName>
    <definedName name="___KBA2_1_4_1">#N/A</definedName>
    <definedName name="___KBA2_1_4_2">#N/A</definedName>
    <definedName name="___KBA2_1_5">#N/A</definedName>
    <definedName name="___KBA2_1_5_1">#N/A</definedName>
    <definedName name="___KBA2_1_5_2">#N/A</definedName>
    <definedName name="___KBA2_1_6">#N/A</definedName>
    <definedName name="___KBA2_1_6_1">#N/A</definedName>
    <definedName name="___KBA2_1_6_2">#N/A</definedName>
    <definedName name="___KBA2_1_7">#N/A</definedName>
    <definedName name="___KBA2_1_7_1">#N/A</definedName>
    <definedName name="___KBA2_1_7_2">#N/A</definedName>
    <definedName name="___KBA2_2">#N/A</definedName>
    <definedName name="___KBA2_2_1">#N/A</definedName>
    <definedName name="___KBA2_2_1_1">#N/A</definedName>
    <definedName name="___KBA2_2_2">#N/A</definedName>
    <definedName name="___KBA2_3">#N/A</definedName>
    <definedName name="___KBA2_3_1">#N/A</definedName>
    <definedName name="___KBA2_3_2">#N/A</definedName>
    <definedName name="___KBA2_4">#N/A</definedName>
    <definedName name="___KBA2_4_1">#N/A</definedName>
    <definedName name="___KBA2_4_2">#N/A</definedName>
    <definedName name="___KBA2_5">#N/A</definedName>
    <definedName name="___KBA2_5_1">#N/A</definedName>
    <definedName name="___KBA2_5_2">#N/A</definedName>
    <definedName name="___KBA2_6">#N/A</definedName>
    <definedName name="___KBA2_6_1">#N/A</definedName>
    <definedName name="___KBA2_6_2">#N/A</definedName>
    <definedName name="___KBA2_7">#N/A</definedName>
    <definedName name="___KBA2_7_1">#N/A</definedName>
    <definedName name="___KBA2_7_2">#N/A</definedName>
    <definedName name="___KR1">#N/A</definedName>
    <definedName name="___KR1_1">#N/A</definedName>
    <definedName name="___KR1_1_1">#N/A</definedName>
    <definedName name="___KR1_1_1_1">#N/A</definedName>
    <definedName name="___KR1_1_1_1_1">#N/A</definedName>
    <definedName name="___KR1_1_1_1_1_1">#N/A</definedName>
    <definedName name="___KR1_1_1_2">#N/A</definedName>
    <definedName name="___KR1_1_2">#N/A</definedName>
    <definedName name="___KR1_1_2_1">#N/A</definedName>
    <definedName name="___KR1_1_2_1_1">#N/A</definedName>
    <definedName name="___KR1_1_2_2">#N/A</definedName>
    <definedName name="___KR1_1_3">#N/A</definedName>
    <definedName name="___KR1_1_3_1">#N/A</definedName>
    <definedName name="___KR1_1_3_2">#N/A</definedName>
    <definedName name="___KR1_1_4">#N/A</definedName>
    <definedName name="___KR1_1_4_1">#N/A</definedName>
    <definedName name="___KR1_1_4_2">#N/A</definedName>
    <definedName name="___KR1_1_5">#N/A</definedName>
    <definedName name="___KR1_1_5_1">#N/A</definedName>
    <definedName name="___KR1_1_5_2">#N/A</definedName>
    <definedName name="___KR1_1_6">#N/A</definedName>
    <definedName name="___KR1_1_6_1">#N/A</definedName>
    <definedName name="___KR1_1_6_2">#N/A</definedName>
    <definedName name="___KR1_1_7">#N/A</definedName>
    <definedName name="___KR1_1_7_1">#N/A</definedName>
    <definedName name="___KR1_1_7_2">#N/A</definedName>
    <definedName name="___KR1_2">#N/A</definedName>
    <definedName name="___KR1_2_1">#N/A</definedName>
    <definedName name="___KR1_2_1_1">#N/A</definedName>
    <definedName name="___KR1_2_2">#N/A</definedName>
    <definedName name="___KR1_3">#N/A</definedName>
    <definedName name="___KR1_3_1">#N/A</definedName>
    <definedName name="___KR1_3_2">#N/A</definedName>
    <definedName name="___KR1_4">#N/A</definedName>
    <definedName name="___KR1_4_1">#N/A</definedName>
    <definedName name="___KR1_4_2">#N/A</definedName>
    <definedName name="___KR1_5">#N/A</definedName>
    <definedName name="___KR1_5_1">#N/A</definedName>
    <definedName name="___KR1_5_2">#N/A</definedName>
    <definedName name="___KR1_6">#N/A</definedName>
    <definedName name="___KR1_6_1">#N/A</definedName>
    <definedName name="___KR1_6_2">#N/A</definedName>
    <definedName name="___KR1_7">#N/A</definedName>
    <definedName name="___KR1_7_1">#N/A</definedName>
    <definedName name="___KR1_7_2">#N/A</definedName>
    <definedName name="___KR2">#N/A</definedName>
    <definedName name="___KR2_1">#N/A</definedName>
    <definedName name="___KR2_1_1">#N/A</definedName>
    <definedName name="___KR2_1_1_1">#N/A</definedName>
    <definedName name="___KR2_1_1_1_1">#N/A</definedName>
    <definedName name="___KR2_1_1_1_1_1">#N/A</definedName>
    <definedName name="___KR2_1_1_2">#N/A</definedName>
    <definedName name="___KR2_1_2">#N/A</definedName>
    <definedName name="___KR2_1_2_1">#N/A</definedName>
    <definedName name="___KR2_1_2_1_1">#N/A</definedName>
    <definedName name="___KR2_1_2_2">#N/A</definedName>
    <definedName name="___KR2_1_3">#N/A</definedName>
    <definedName name="___KR2_1_3_1">#N/A</definedName>
    <definedName name="___KR2_1_3_2">#N/A</definedName>
    <definedName name="___KR2_1_4">#N/A</definedName>
    <definedName name="___KR2_1_4_1">#N/A</definedName>
    <definedName name="___KR2_1_4_2">#N/A</definedName>
    <definedName name="___KR2_1_5">#N/A</definedName>
    <definedName name="___KR2_1_5_1">#N/A</definedName>
    <definedName name="___KR2_1_5_2">#N/A</definedName>
    <definedName name="___KR2_1_6">#N/A</definedName>
    <definedName name="___KR2_1_6_1">#N/A</definedName>
    <definedName name="___KR2_1_6_2">#N/A</definedName>
    <definedName name="___KR2_1_7">#N/A</definedName>
    <definedName name="___KR2_1_7_1">#N/A</definedName>
    <definedName name="___KR2_1_7_2">#N/A</definedName>
    <definedName name="___KR2_2">#N/A</definedName>
    <definedName name="___KR2_2_1">#N/A</definedName>
    <definedName name="___KR2_2_1_1">#N/A</definedName>
    <definedName name="___KR2_2_2">#N/A</definedName>
    <definedName name="___KR2_3">#N/A</definedName>
    <definedName name="___KR2_3_1">#N/A</definedName>
    <definedName name="___KR2_3_2">#N/A</definedName>
    <definedName name="___KR2_4">#N/A</definedName>
    <definedName name="___KR2_4_1">#N/A</definedName>
    <definedName name="___KR2_4_2">#N/A</definedName>
    <definedName name="___KR2_5">#N/A</definedName>
    <definedName name="___KR2_5_1">#N/A</definedName>
    <definedName name="___KR2_5_2">#N/A</definedName>
    <definedName name="___KR2_6">#N/A</definedName>
    <definedName name="___KR2_6_1">#N/A</definedName>
    <definedName name="___KR2_6_2">#N/A</definedName>
    <definedName name="___KR2_7">#N/A</definedName>
    <definedName name="___KR2_7_1">#N/A</definedName>
    <definedName name="___KR2_7_2">#N/A</definedName>
    <definedName name="___KR3">#N/A</definedName>
    <definedName name="___KR3_1">#N/A</definedName>
    <definedName name="___KR3_1_1">#N/A</definedName>
    <definedName name="___KR3_1_1_1">#N/A</definedName>
    <definedName name="___KR3_1_1_1_1">#N/A</definedName>
    <definedName name="___KR3_1_1_1_1_1">#N/A</definedName>
    <definedName name="___KR3_1_1_2">#N/A</definedName>
    <definedName name="___KR3_1_2">#N/A</definedName>
    <definedName name="___KR3_1_2_1">#N/A</definedName>
    <definedName name="___KR3_1_2_1_1">#N/A</definedName>
    <definedName name="___KR3_1_2_2">#N/A</definedName>
    <definedName name="___KR3_1_3">#N/A</definedName>
    <definedName name="___KR3_1_3_1">#N/A</definedName>
    <definedName name="___KR3_1_3_2">#N/A</definedName>
    <definedName name="___KR3_1_4">#N/A</definedName>
    <definedName name="___KR3_1_4_1">#N/A</definedName>
    <definedName name="___KR3_1_4_2">#N/A</definedName>
    <definedName name="___KR3_1_5">#N/A</definedName>
    <definedName name="___KR3_1_5_1">#N/A</definedName>
    <definedName name="___KR3_1_5_2">#N/A</definedName>
    <definedName name="___KR3_1_6">#N/A</definedName>
    <definedName name="___KR3_1_6_1">#N/A</definedName>
    <definedName name="___KR3_1_6_2">#N/A</definedName>
    <definedName name="___KR3_1_7">#N/A</definedName>
    <definedName name="___KR3_1_7_1">#N/A</definedName>
    <definedName name="___KR3_1_7_2">#N/A</definedName>
    <definedName name="___KR3_2">#N/A</definedName>
    <definedName name="___KR3_2_1">#N/A</definedName>
    <definedName name="___KR3_2_1_1">#N/A</definedName>
    <definedName name="___KR3_2_2">#N/A</definedName>
    <definedName name="___KR3_3">#N/A</definedName>
    <definedName name="___KR3_3_1">#N/A</definedName>
    <definedName name="___KR3_3_2">#N/A</definedName>
    <definedName name="___KR3_4">#N/A</definedName>
    <definedName name="___KR3_4_1">#N/A</definedName>
    <definedName name="___KR3_4_2">#N/A</definedName>
    <definedName name="___KR3_5">#N/A</definedName>
    <definedName name="___KR3_5_1">#N/A</definedName>
    <definedName name="___KR3_5_2">#N/A</definedName>
    <definedName name="___KR3_6">#N/A</definedName>
    <definedName name="___KR3_6_1">#N/A</definedName>
    <definedName name="___KR3_6_2">#N/A</definedName>
    <definedName name="___KR3_7">#N/A</definedName>
    <definedName name="___KR3_7_1">#N/A</definedName>
    <definedName name="___KR3_7_2">#N/A</definedName>
    <definedName name="___KR4">#N/A</definedName>
    <definedName name="___KR4_1">#N/A</definedName>
    <definedName name="___KR4_1_1">#N/A</definedName>
    <definedName name="___KR4_1_1_1">#N/A</definedName>
    <definedName name="___KR4_1_1_1_1">#N/A</definedName>
    <definedName name="___KR4_1_1_1_1_1">#N/A</definedName>
    <definedName name="___KR4_1_1_2">#N/A</definedName>
    <definedName name="___KR4_1_2">#N/A</definedName>
    <definedName name="___KR4_1_2_1">#N/A</definedName>
    <definedName name="___KR4_1_2_1_1">#N/A</definedName>
    <definedName name="___KR4_1_2_2">#N/A</definedName>
    <definedName name="___KR4_1_3">#N/A</definedName>
    <definedName name="___KR4_1_3_1">#N/A</definedName>
    <definedName name="___KR4_1_3_2">#N/A</definedName>
    <definedName name="___KR4_1_4">#N/A</definedName>
    <definedName name="___KR4_1_4_1">#N/A</definedName>
    <definedName name="___KR4_1_4_2">#N/A</definedName>
    <definedName name="___KR4_1_5">#N/A</definedName>
    <definedName name="___KR4_1_5_1">#N/A</definedName>
    <definedName name="___KR4_1_5_2">#N/A</definedName>
    <definedName name="___KR4_1_6">#N/A</definedName>
    <definedName name="___KR4_1_6_1">#N/A</definedName>
    <definedName name="___KR4_1_6_2">#N/A</definedName>
    <definedName name="___KR4_1_7">#N/A</definedName>
    <definedName name="___KR4_1_7_1">#N/A</definedName>
    <definedName name="___KR4_1_7_2">#N/A</definedName>
    <definedName name="___KR4_2">#N/A</definedName>
    <definedName name="___KR4_2_1">#N/A</definedName>
    <definedName name="___KR4_2_1_1">#N/A</definedName>
    <definedName name="___KR4_2_2">#N/A</definedName>
    <definedName name="___KR4_3">#N/A</definedName>
    <definedName name="___KR4_3_1">#N/A</definedName>
    <definedName name="___KR4_3_2">#N/A</definedName>
    <definedName name="___KR4_4">#N/A</definedName>
    <definedName name="___KR4_4_1">#N/A</definedName>
    <definedName name="___KR4_4_2">#N/A</definedName>
    <definedName name="___KR4_5">#N/A</definedName>
    <definedName name="___KR4_5_1">#N/A</definedName>
    <definedName name="___KR4_5_2">#N/A</definedName>
    <definedName name="___KR4_6">#N/A</definedName>
    <definedName name="___KR4_6_1">#N/A</definedName>
    <definedName name="___KR4_6_2">#N/A</definedName>
    <definedName name="___KR4_7">#N/A</definedName>
    <definedName name="___KR4_7_1">#N/A</definedName>
    <definedName name="___KR4_7_2">#N/A</definedName>
    <definedName name="___KR5">#N/A</definedName>
    <definedName name="___KR5_1">#N/A</definedName>
    <definedName name="___KR5_1_1">#N/A</definedName>
    <definedName name="___KR5_1_1_1">#N/A</definedName>
    <definedName name="___KR5_1_1_1_1">#N/A</definedName>
    <definedName name="___KR5_1_1_1_1_1">#N/A</definedName>
    <definedName name="___KR5_1_1_2">#N/A</definedName>
    <definedName name="___KR5_1_2">#N/A</definedName>
    <definedName name="___KR5_1_2_1">#N/A</definedName>
    <definedName name="___KR5_1_2_1_1">#N/A</definedName>
    <definedName name="___KR5_1_2_2">#N/A</definedName>
    <definedName name="___KR5_1_3">#N/A</definedName>
    <definedName name="___KR5_1_3_1">#N/A</definedName>
    <definedName name="___KR5_1_3_2">#N/A</definedName>
    <definedName name="___KR5_1_4">#N/A</definedName>
    <definedName name="___KR5_1_4_1">#N/A</definedName>
    <definedName name="___KR5_1_4_2">#N/A</definedName>
    <definedName name="___KR5_1_5">#N/A</definedName>
    <definedName name="___KR5_1_5_1">#N/A</definedName>
    <definedName name="___KR5_1_5_2">#N/A</definedName>
    <definedName name="___KR5_1_6">#N/A</definedName>
    <definedName name="___KR5_1_6_1">#N/A</definedName>
    <definedName name="___KR5_1_6_2">#N/A</definedName>
    <definedName name="___KR5_1_7">#N/A</definedName>
    <definedName name="___KR5_1_7_1">#N/A</definedName>
    <definedName name="___KR5_1_7_2">#N/A</definedName>
    <definedName name="___KR5_2">#N/A</definedName>
    <definedName name="___KR5_2_1">#N/A</definedName>
    <definedName name="___KR5_2_1_1">#N/A</definedName>
    <definedName name="___KR5_2_2">#N/A</definedName>
    <definedName name="___KR5_3">#N/A</definedName>
    <definedName name="___KR5_3_1">#N/A</definedName>
    <definedName name="___KR5_3_2">#N/A</definedName>
    <definedName name="___KR5_4">#N/A</definedName>
    <definedName name="___KR5_4_1">#N/A</definedName>
    <definedName name="___KR5_4_2">#N/A</definedName>
    <definedName name="___KR5_5">#N/A</definedName>
    <definedName name="___KR5_5_1">#N/A</definedName>
    <definedName name="___KR5_5_2">#N/A</definedName>
    <definedName name="___KR5_6">#N/A</definedName>
    <definedName name="___KR5_6_1">#N/A</definedName>
    <definedName name="___KR5_6_2">#N/A</definedName>
    <definedName name="___KR5_7">#N/A</definedName>
    <definedName name="___KR5_7_1">#N/A</definedName>
    <definedName name="___KR5_7_2">#N/A</definedName>
    <definedName name="___LF1">#N/A</definedName>
    <definedName name="___LF1_1">#N/A</definedName>
    <definedName name="___LF1_1_1">#N/A</definedName>
    <definedName name="___LF1_1_1_1">#N/A</definedName>
    <definedName name="___LF1_1_1_1_1">#N/A</definedName>
    <definedName name="___LF1_1_1_1_1_1">#N/A</definedName>
    <definedName name="___LF1_1_1_2">#N/A</definedName>
    <definedName name="___LF1_1_2">#N/A</definedName>
    <definedName name="___LF1_1_2_1">#N/A</definedName>
    <definedName name="___LF1_1_2_1_1">#N/A</definedName>
    <definedName name="___LF1_1_2_2">#N/A</definedName>
    <definedName name="___LF1_1_3">#N/A</definedName>
    <definedName name="___LF1_1_3_1">#N/A</definedName>
    <definedName name="___LF1_1_3_2">#N/A</definedName>
    <definedName name="___LF1_1_4">#N/A</definedName>
    <definedName name="___LF1_1_4_1">#N/A</definedName>
    <definedName name="___LF1_1_4_2">#N/A</definedName>
    <definedName name="___LF1_1_5">#N/A</definedName>
    <definedName name="___LF1_1_5_1">#N/A</definedName>
    <definedName name="___LF1_1_5_2">#N/A</definedName>
    <definedName name="___LF1_1_6">#N/A</definedName>
    <definedName name="___LF1_1_6_1">#N/A</definedName>
    <definedName name="___LF1_1_6_2">#N/A</definedName>
    <definedName name="___LF1_1_7">#N/A</definedName>
    <definedName name="___LF1_1_7_1">#N/A</definedName>
    <definedName name="___LF1_1_7_2">#N/A</definedName>
    <definedName name="___LF1_2">#N/A</definedName>
    <definedName name="___LF1_2_1">#N/A</definedName>
    <definedName name="___LF1_2_1_1">#N/A</definedName>
    <definedName name="___LF1_2_2">#N/A</definedName>
    <definedName name="___LF1_3">#N/A</definedName>
    <definedName name="___LF1_3_1">#N/A</definedName>
    <definedName name="___LF1_3_2">#N/A</definedName>
    <definedName name="___LF1_4">#N/A</definedName>
    <definedName name="___LF1_4_1">#N/A</definedName>
    <definedName name="___LF1_4_2">#N/A</definedName>
    <definedName name="___LF1_5">#N/A</definedName>
    <definedName name="___LF1_5_1">#N/A</definedName>
    <definedName name="___LF1_5_2">#N/A</definedName>
    <definedName name="___LF1_6">#N/A</definedName>
    <definedName name="___LF1_6_1">#N/A</definedName>
    <definedName name="___LF1_6_2">#N/A</definedName>
    <definedName name="___LF1_7">#N/A</definedName>
    <definedName name="___LF1_7_1">#N/A</definedName>
    <definedName name="___LF1_7_2">#N/A</definedName>
    <definedName name="___MG1">#N/A</definedName>
    <definedName name="___MG1_1">#N/A</definedName>
    <definedName name="___MG1_1_1">#N/A</definedName>
    <definedName name="___MG1_1_1_1">#N/A</definedName>
    <definedName name="___MG1_1_1_1_1">#N/A</definedName>
    <definedName name="___MG1_1_1_1_1_1">#N/A</definedName>
    <definedName name="___MG1_1_1_2">#N/A</definedName>
    <definedName name="___MG1_1_2">#N/A</definedName>
    <definedName name="___MG1_1_2_1">#N/A</definedName>
    <definedName name="___MG1_1_2_1_1">#N/A</definedName>
    <definedName name="___MG1_1_2_2">#N/A</definedName>
    <definedName name="___MG1_1_3">#N/A</definedName>
    <definedName name="___MG1_1_3_1">#N/A</definedName>
    <definedName name="___MG1_1_3_2">#N/A</definedName>
    <definedName name="___MG1_1_4">#N/A</definedName>
    <definedName name="___MG1_1_4_1">#N/A</definedName>
    <definedName name="___MG1_1_4_2">#N/A</definedName>
    <definedName name="___MG1_1_5">#N/A</definedName>
    <definedName name="___MG1_1_5_1">#N/A</definedName>
    <definedName name="___MG1_1_5_2">#N/A</definedName>
    <definedName name="___MG1_1_6">#N/A</definedName>
    <definedName name="___MG1_1_6_1">#N/A</definedName>
    <definedName name="___MG1_1_6_2">#N/A</definedName>
    <definedName name="___MG1_1_7">#N/A</definedName>
    <definedName name="___MG1_1_7_1">#N/A</definedName>
    <definedName name="___MG1_1_7_2">#N/A</definedName>
    <definedName name="___MG1_2">#N/A</definedName>
    <definedName name="___MG1_2_1">#N/A</definedName>
    <definedName name="___MG1_2_1_1">#N/A</definedName>
    <definedName name="___MG1_2_2">#N/A</definedName>
    <definedName name="___MG1_3">#N/A</definedName>
    <definedName name="___MG1_3_1">#N/A</definedName>
    <definedName name="___MG1_3_2">#N/A</definedName>
    <definedName name="___MG1_4">#N/A</definedName>
    <definedName name="___MG1_4_1">#N/A</definedName>
    <definedName name="___MG1_4_2">#N/A</definedName>
    <definedName name="___MG1_5">#N/A</definedName>
    <definedName name="___MG1_5_1">#N/A</definedName>
    <definedName name="___MG1_5_2">#N/A</definedName>
    <definedName name="___MG1_6">#N/A</definedName>
    <definedName name="___MG1_6_1">#N/A</definedName>
    <definedName name="___MG1_6_2">#N/A</definedName>
    <definedName name="___MG1_7">#N/A</definedName>
    <definedName name="___MG1_7_1">#N/A</definedName>
    <definedName name="___MG1_7_2">#N/A</definedName>
    <definedName name="___MG2">#N/A</definedName>
    <definedName name="___MG2_1">#N/A</definedName>
    <definedName name="___MG2_1_1">#N/A</definedName>
    <definedName name="___MG2_1_1_1">#N/A</definedName>
    <definedName name="___MG2_1_1_1_1">#N/A</definedName>
    <definedName name="___MG2_1_1_1_1_1">#N/A</definedName>
    <definedName name="___MG2_1_1_2">#N/A</definedName>
    <definedName name="___MG2_1_2">#N/A</definedName>
    <definedName name="___MG2_1_2_1">#N/A</definedName>
    <definedName name="___MG2_1_2_1_1">#N/A</definedName>
    <definedName name="___MG2_1_2_2">#N/A</definedName>
    <definedName name="___MG2_1_3">#N/A</definedName>
    <definedName name="___MG2_1_3_1">#N/A</definedName>
    <definedName name="___MG2_1_3_2">#N/A</definedName>
    <definedName name="___MG2_1_4">#N/A</definedName>
    <definedName name="___MG2_1_4_1">#N/A</definedName>
    <definedName name="___MG2_1_4_2">#N/A</definedName>
    <definedName name="___MG2_1_5">#N/A</definedName>
    <definedName name="___MG2_1_5_1">#N/A</definedName>
    <definedName name="___MG2_1_5_2">#N/A</definedName>
    <definedName name="___MG2_1_6">#N/A</definedName>
    <definedName name="___MG2_1_6_1">#N/A</definedName>
    <definedName name="___MG2_1_6_2">#N/A</definedName>
    <definedName name="___MG2_1_7">#N/A</definedName>
    <definedName name="___MG2_1_7_1">#N/A</definedName>
    <definedName name="___MG2_1_7_2">#N/A</definedName>
    <definedName name="___MG2_2">#N/A</definedName>
    <definedName name="___MG2_2_1">#N/A</definedName>
    <definedName name="___MG2_2_1_1">#N/A</definedName>
    <definedName name="___MG2_2_2">#N/A</definedName>
    <definedName name="___MG2_3">#N/A</definedName>
    <definedName name="___MG2_3_1">#N/A</definedName>
    <definedName name="___MG2_3_2">#N/A</definedName>
    <definedName name="___MG2_4">#N/A</definedName>
    <definedName name="___MG2_4_1">#N/A</definedName>
    <definedName name="___MG2_4_2">#N/A</definedName>
    <definedName name="___MG2_5">#N/A</definedName>
    <definedName name="___MG2_5_1">#N/A</definedName>
    <definedName name="___MG2_5_2">#N/A</definedName>
    <definedName name="___MG2_6">#N/A</definedName>
    <definedName name="___MG2_6_1">#N/A</definedName>
    <definedName name="___MG2_6_2">#N/A</definedName>
    <definedName name="___MG2_7">#N/A</definedName>
    <definedName name="___MG2_7_1">#N/A</definedName>
    <definedName name="___MG2_7_2">#N/A</definedName>
    <definedName name="___MG3">#N/A</definedName>
    <definedName name="___MG3_1">#N/A</definedName>
    <definedName name="___MG3_1_1">#N/A</definedName>
    <definedName name="___MG3_1_1_1">#N/A</definedName>
    <definedName name="___MG3_1_1_1_1">#N/A</definedName>
    <definedName name="___MG3_1_1_1_1_1">#N/A</definedName>
    <definedName name="___MG3_1_1_2">#N/A</definedName>
    <definedName name="___MG3_1_2">#N/A</definedName>
    <definedName name="___MG3_1_2_1">#N/A</definedName>
    <definedName name="___MG3_1_2_1_1">#N/A</definedName>
    <definedName name="___MG3_1_2_2">#N/A</definedName>
    <definedName name="___MG3_1_3">#N/A</definedName>
    <definedName name="___MG3_1_3_1">#N/A</definedName>
    <definedName name="___MG3_1_3_2">#N/A</definedName>
    <definedName name="___MG3_1_4">#N/A</definedName>
    <definedName name="___MG3_1_4_1">#N/A</definedName>
    <definedName name="___MG3_1_4_2">#N/A</definedName>
    <definedName name="___MG3_1_5">#N/A</definedName>
    <definedName name="___MG3_1_5_1">#N/A</definedName>
    <definedName name="___MG3_1_5_2">#N/A</definedName>
    <definedName name="___MG3_1_6">#N/A</definedName>
    <definedName name="___MG3_1_6_1">#N/A</definedName>
    <definedName name="___MG3_1_6_2">#N/A</definedName>
    <definedName name="___MG3_1_7">#N/A</definedName>
    <definedName name="___MG3_1_7_1">#N/A</definedName>
    <definedName name="___MG3_1_7_2">#N/A</definedName>
    <definedName name="___MG3_2">#N/A</definedName>
    <definedName name="___MG3_2_1">#N/A</definedName>
    <definedName name="___MG3_2_1_1">#N/A</definedName>
    <definedName name="___MG3_2_2">#N/A</definedName>
    <definedName name="___MG3_3">#N/A</definedName>
    <definedName name="___MG3_3_1">#N/A</definedName>
    <definedName name="___MG3_3_2">#N/A</definedName>
    <definedName name="___MG3_4">#N/A</definedName>
    <definedName name="___MG3_4_1">#N/A</definedName>
    <definedName name="___MG3_4_2">#N/A</definedName>
    <definedName name="___MG3_5">#N/A</definedName>
    <definedName name="___MG3_5_1">#N/A</definedName>
    <definedName name="___MG3_5_2">#N/A</definedName>
    <definedName name="___MG3_6">#N/A</definedName>
    <definedName name="___MG3_6_1">#N/A</definedName>
    <definedName name="___MG3_6_2">#N/A</definedName>
    <definedName name="___MG3_7">#N/A</definedName>
    <definedName name="___MG3_7_1">#N/A</definedName>
    <definedName name="___MG3_7_2">#N/A</definedName>
    <definedName name="___MG4">#N/A</definedName>
    <definedName name="___MG4_1">#N/A</definedName>
    <definedName name="___MG4_1_1">#N/A</definedName>
    <definedName name="___MG4_1_1_1">#N/A</definedName>
    <definedName name="___MG4_1_1_1_1">#N/A</definedName>
    <definedName name="___MG4_1_1_1_1_1">#N/A</definedName>
    <definedName name="___MG4_1_1_2">#N/A</definedName>
    <definedName name="___MG4_1_2">#N/A</definedName>
    <definedName name="___MG4_1_2_1">#N/A</definedName>
    <definedName name="___MG4_1_2_1_1">#N/A</definedName>
    <definedName name="___MG4_1_2_2">#N/A</definedName>
    <definedName name="___MG4_1_3">#N/A</definedName>
    <definedName name="___MG4_1_3_1">#N/A</definedName>
    <definedName name="___MG4_1_3_2">#N/A</definedName>
    <definedName name="___MG4_1_4">#N/A</definedName>
    <definedName name="___MG4_1_4_1">#N/A</definedName>
    <definedName name="___MG4_1_4_2">#N/A</definedName>
    <definedName name="___MG4_1_5">#N/A</definedName>
    <definedName name="___MG4_1_5_1">#N/A</definedName>
    <definedName name="___MG4_1_5_2">#N/A</definedName>
    <definedName name="___MG4_1_6">#N/A</definedName>
    <definedName name="___MG4_1_6_1">#N/A</definedName>
    <definedName name="___MG4_1_6_2">#N/A</definedName>
    <definedName name="___MG4_1_7">#N/A</definedName>
    <definedName name="___MG4_1_7_1">#N/A</definedName>
    <definedName name="___MG4_1_7_2">#N/A</definedName>
    <definedName name="___MG4_2">#N/A</definedName>
    <definedName name="___MG4_2_1">#N/A</definedName>
    <definedName name="___MG4_2_1_1">#N/A</definedName>
    <definedName name="___MG4_2_2">#N/A</definedName>
    <definedName name="___MG4_3">#N/A</definedName>
    <definedName name="___MG4_3_1">#N/A</definedName>
    <definedName name="___MG4_3_2">#N/A</definedName>
    <definedName name="___MG4_4">#N/A</definedName>
    <definedName name="___MG4_4_1">#N/A</definedName>
    <definedName name="___MG4_4_2">#N/A</definedName>
    <definedName name="___MG4_5">#N/A</definedName>
    <definedName name="___MG4_5_1">#N/A</definedName>
    <definedName name="___MG4_5_2">#N/A</definedName>
    <definedName name="___MG4_6">#N/A</definedName>
    <definedName name="___MG4_6_1">#N/A</definedName>
    <definedName name="___MG4_6_2">#N/A</definedName>
    <definedName name="___MG4_7">#N/A</definedName>
    <definedName name="___MG4_7_1">#N/A</definedName>
    <definedName name="___MG4_7_2">#N/A</definedName>
    <definedName name="___MLZ1">#N/A</definedName>
    <definedName name="___MLZ1_1">#N/A</definedName>
    <definedName name="___MLZ1_1_1">#N/A</definedName>
    <definedName name="___MLZ1_1_1_1">#N/A</definedName>
    <definedName name="___MLZ1_1_1_1_1">#N/A</definedName>
    <definedName name="___MLZ1_1_1_1_1_1">#N/A</definedName>
    <definedName name="___MLZ1_1_1_2">#N/A</definedName>
    <definedName name="___MLZ1_1_2">#N/A</definedName>
    <definedName name="___MLZ1_1_2_1">#N/A</definedName>
    <definedName name="___MLZ1_1_2_1_1">#N/A</definedName>
    <definedName name="___MLZ1_1_2_2">#N/A</definedName>
    <definedName name="___MLZ1_1_3">#N/A</definedName>
    <definedName name="___MLZ1_1_3_1">#N/A</definedName>
    <definedName name="___MLZ1_1_3_2">#N/A</definedName>
    <definedName name="___MLZ1_1_4">#N/A</definedName>
    <definedName name="___MLZ1_1_4_1">#N/A</definedName>
    <definedName name="___MLZ1_1_4_2">#N/A</definedName>
    <definedName name="___MLZ1_1_5">#N/A</definedName>
    <definedName name="___MLZ1_1_5_1">#N/A</definedName>
    <definedName name="___MLZ1_1_5_2">#N/A</definedName>
    <definedName name="___MLZ1_1_6">#N/A</definedName>
    <definedName name="___MLZ1_1_6_1">#N/A</definedName>
    <definedName name="___MLZ1_1_6_2">#N/A</definedName>
    <definedName name="___MLZ1_1_7">#N/A</definedName>
    <definedName name="___MLZ1_1_7_1">#N/A</definedName>
    <definedName name="___MLZ1_1_7_2">#N/A</definedName>
    <definedName name="___MLZ1_2">#N/A</definedName>
    <definedName name="___MLZ1_2_1">#N/A</definedName>
    <definedName name="___MLZ1_2_1_1">#N/A</definedName>
    <definedName name="___MLZ1_2_2">#N/A</definedName>
    <definedName name="___MLZ1_3">#N/A</definedName>
    <definedName name="___MLZ1_3_1">#N/A</definedName>
    <definedName name="___MLZ1_3_2">#N/A</definedName>
    <definedName name="___MLZ1_4">#N/A</definedName>
    <definedName name="___MLZ1_4_1">#N/A</definedName>
    <definedName name="___MLZ1_4_2">#N/A</definedName>
    <definedName name="___MLZ1_5">#N/A</definedName>
    <definedName name="___MLZ1_5_1">#N/A</definedName>
    <definedName name="___MLZ1_5_2">#N/A</definedName>
    <definedName name="___MLZ1_6">#N/A</definedName>
    <definedName name="___MLZ1_6_1">#N/A</definedName>
    <definedName name="___MLZ1_6_2">#N/A</definedName>
    <definedName name="___MLZ1_7">#N/A</definedName>
    <definedName name="___MLZ1_7_1">#N/A</definedName>
    <definedName name="___MLZ1_7_2">#N/A</definedName>
    <definedName name="___mlz2">#N/A</definedName>
    <definedName name="___mlz2_1">#N/A</definedName>
    <definedName name="___mlz2_1_1">#N/A</definedName>
    <definedName name="___mlz2_1_1_1">#N/A</definedName>
    <definedName name="___mlz2_1_1_1_1">#N/A</definedName>
    <definedName name="___mlz2_1_1_1_1_1">#N/A</definedName>
    <definedName name="___mlz2_1_1_2">#N/A</definedName>
    <definedName name="___mlz2_1_2">#N/A</definedName>
    <definedName name="___mlz2_1_2_1">#N/A</definedName>
    <definedName name="___mlz2_1_2_1_1">#N/A</definedName>
    <definedName name="___mlz2_1_2_2">#N/A</definedName>
    <definedName name="___mlz2_1_3">#N/A</definedName>
    <definedName name="___mlz2_1_3_1">#N/A</definedName>
    <definedName name="___mlz2_1_3_2">#N/A</definedName>
    <definedName name="___mlz2_1_4">#N/A</definedName>
    <definedName name="___mlz2_1_4_1">#N/A</definedName>
    <definedName name="___mlz2_1_4_2">#N/A</definedName>
    <definedName name="___mlz2_1_5">#N/A</definedName>
    <definedName name="___mlz2_1_5_1">#N/A</definedName>
    <definedName name="___mlz2_1_5_2">#N/A</definedName>
    <definedName name="___mlz2_1_6">#N/A</definedName>
    <definedName name="___mlz2_1_6_1">#N/A</definedName>
    <definedName name="___mlz2_1_6_2">#N/A</definedName>
    <definedName name="___mlz2_1_7">#N/A</definedName>
    <definedName name="___mlz2_1_7_1">#N/A</definedName>
    <definedName name="___mlz2_1_7_2">#N/A</definedName>
    <definedName name="___mlz2_2">#N/A</definedName>
    <definedName name="___mlz2_2_1">#N/A</definedName>
    <definedName name="___mlz2_2_1_1">#N/A</definedName>
    <definedName name="___mlz2_2_2">#N/A</definedName>
    <definedName name="___mlz2_3">#N/A</definedName>
    <definedName name="___mlz2_3_1">#N/A</definedName>
    <definedName name="___mlz2_3_2">#N/A</definedName>
    <definedName name="___mlz2_4">#N/A</definedName>
    <definedName name="___mlz2_4_1">#N/A</definedName>
    <definedName name="___mlz2_4_2">#N/A</definedName>
    <definedName name="___mlz2_5">#N/A</definedName>
    <definedName name="___mlz2_5_1">#N/A</definedName>
    <definedName name="___mlz2_5_2">#N/A</definedName>
    <definedName name="___mlz2_6">#N/A</definedName>
    <definedName name="___mlz2_6_1">#N/A</definedName>
    <definedName name="___mlz2_6_2">#N/A</definedName>
    <definedName name="___mlz2_7">#N/A</definedName>
    <definedName name="___mlz2_7_1">#N/A</definedName>
    <definedName name="___mlz2_7_2">#N/A</definedName>
    <definedName name="___PAN1">#N/A</definedName>
    <definedName name="___PAN1_1">#N/A</definedName>
    <definedName name="___PAN1_1_1">#N/A</definedName>
    <definedName name="___PAN1_1_1_1">#N/A</definedName>
    <definedName name="___PAN1_1_1_1_1">#N/A</definedName>
    <definedName name="___PAN1_1_1_1_1_1">#N/A</definedName>
    <definedName name="___PAN1_1_1_2">#N/A</definedName>
    <definedName name="___PAN1_1_2">#N/A</definedName>
    <definedName name="___PAN1_1_2_1">#N/A</definedName>
    <definedName name="___PAN1_1_2_1_1">#N/A</definedName>
    <definedName name="___PAN1_1_2_2">#N/A</definedName>
    <definedName name="___PAN1_1_3">#N/A</definedName>
    <definedName name="___PAN1_1_3_1">#N/A</definedName>
    <definedName name="___PAN1_1_3_2">#N/A</definedName>
    <definedName name="___PAN1_1_4">#N/A</definedName>
    <definedName name="___PAN1_1_4_1">#N/A</definedName>
    <definedName name="___PAN1_1_4_2">#N/A</definedName>
    <definedName name="___PAN1_1_5">#N/A</definedName>
    <definedName name="___PAN1_1_5_1">#N/A</definedName>
    <definedName name="___PAN1_1_5_2">#N/A</definedName>
    <definedName name="___PAN1_1_6">#N/A</definedName>
    <definedName name="___PAN1_1_6_1">#N/A</definedName>
    <definedName name="___PAN1_1_6_2">#N/A</definedName>
    <definedName name="___PAN1_1_7">#N/A</definedName>
    <definedName name="___PAN1_1_7_1">#N/A</definedName>
    <definedName name="___PAN1_1_7_2">#N/A</definedName>
    <definedName name="___PAN1_2">#N/A</definedName>
    <definedName name="___PAN1_2_1">#N/A</definedName>
    <definedName name="___PAN1_2_1_1">#N/A</definedName>
    <definedName name="___PAN1_2_2">#N/A</definedName>
    <definedName name="___PAN1_3">#N/A</definedName>
    <definedName name="___PAN1_3_1">#N/A</definedName>
    <definedName name="___PAN1_3_2">#N/A</definedName>
    <definedName name="___PAN1_4">#N/A</definedName>
    <definedName name="___PAN1_4_1">#N/A</definedName>
    <definedName name="___PAN1_4_2">#N/A</definedName>
    <definedName name="___PAN1_5">#N/A</definedName>
    <definedName name="___PAN1_5_1">#N/A</definedName>
    <definedName name="___PAN1_5_2">#N/A</definedName>
    <definedName name="___PAN1_6">#N/A</definedName>
    <definedName name="___PAN1_6_1">#N/A</definedName>
    <definedName name="___PAN1_6_2">#N/A</definedName>
    <definedName name="___PAN1_7">#N/A</definedName>
    <definedName name="___PAN1_7_1">#N/A</definedName>
    <definedName name="___PAN1_7_2">#N/A</definedName>
    <definedName name="___PAN2">#N/A</definedName>
    <definedName name="___PAN2_1">#N/A</definedName>
    <definedName name="___PAN2_1_1">#N/A</definedName>
    <definedName name="___PAN2_1_1_1">#N/A</definedName>
    <definedName name="___PAN2_1_1_1_1">#N/A</definedName>
    <definedName name="___PAN2_1_1_1_1_1">#N/A</definedName>
    <definedName name="___PAN2_1_1_2">#N/A</definedName>
    <definedName name="___PAN2_1_2">#N/A</definedName>
    <definedName name="___PAN2_1_2_1">#N/A</definedName>
    <definedName name="___PAN2_1_2_1_1">#N/A</definedName>
    <definedName name="___PAN2_1_2_2">#N/A</definedName>
    <definedName name="___PAN2_1_3">#N/A</definedName>
    <definedName name="___PAN2_1_3_1">#N/A</definedName>
    <definedName name="___PAN2_1_3_2">#N/A</definedName>
    <definedName name="___PAN2_1_4">#N/A</definedName>
    <definedName name="___PAN2_1_4_1">#N/A</definedName>
    <definedName name="___PAN2_1_4_2">#N/A</definedName>
    <definedName name="___PAN2_1_5">#N/A</definedName>
    <definedName name="___PAN2_1_5_1">#N/A</definedName>
    <definedName name="___PAN2_1_5_2">#N/A</definedName>
    <definedName name="___PAN2_1_6">#N/A</definedName>
    <definedName name="___PAN2_1_6_1">#N/A</definedName>
    <definedName name="___PAN2_1_6_2">#N/A</definedName>
    <definedName name="___PAN2_1_7">#N/A</definedName>
    <definedName name="___PAN2_1_7_1">#N/A</definedName>
    <definedName name="___PAN2_1_7_2">#N/A</definedName>
    <definedName name="___PAN2_2">#N/A</definedName>
    <definedName name="___PAN2_2_1">#N/A</definedName>
    <definedName name="___PAN2_2_1_1">#N/A</definedName>
    <definedName name="___PAN2_2_2">#N/A</definedName>
    <definedName name="___PAN2_3">#N/A</definedName>
    <definedName name="___PAN2_3_1">#N/A</definedName>
    <definedName name="___PAN2_3_2">#N/A</definedName>
    <definedName name="___PAN2_4">#N/A</definedName>
    <definedName name="___PAN2_4_1">#N/A</definedName>
    <definedName name="___PAN2_4_2">#N/A</definedName>
    <definedName name="___PAN2_5">#N/A</definedName>
    <definedName name="___PAN2_5_1">#N/A</definedName>
    <definedName name="___PAN2_5_2">#N/A</definedName>
    <definedName name="___PAN2_6">#N/A</definedName>
    <definedName name="___PAN2_6_1">#N/A</definedName>
    <definedName name="___PAN2_6_2">#N/A</definedName>
    <definedName name="___PAN2_7">#N/A</definedName>
    <definedName name="___PAN2_7_1">#N/A</definedName>
    <definedName name="___PAN2_7_2">#N/A</definedName>
    <definedName name="___RSK1">#N/A</definedName>
    <definedName name="___RSK1_1">#N/A</definedName>
    <definedName name="___RSK1_1_1">#N/A</definedName>
    <definedName name="___RSK1_1_1_1">#N/A</definedName>
    <definedName name="___RSK1_1_1_1_1">#N/A</definedName>
    <definedName name="___RSK1_1_1_1_1_1">#N/A</definedName>
    <definedName name="___RSK1_1_1_2">#N/A</definedName>
    <definedName name="___RSK1_1_2">#N/A</definedName>
    <definedName name="___RSK1_1_2_1">#N/A</definedName>
    <definedName name="___RSK1_1_2_1_1">#N/A</definedName>
    <definedName name="___RSK1_1_2_2">#N/A</definedName>
    <definedName name="___RSK1_1_3">#N/A</definedName>
    <definedName name="___RSK1_1_3_1">#N/A</definedName>
    <definedName name="___RSK1_1_3_2">#N/A</definedName>
    <definedName name="___RSK1_1_4">#N/A</definedName>
    <definedName name="___RSK1_1_4_1">#N/A</definedName>
    <definedName name="___RSK1_1_4_2">#N/A</definedName>
    <definedName name="___RSK1_1_5">#N/A</definedName>
    <definedName name="___RSK1_1_5_1">#N/A</definedName>
    <definedName name="___RSK1_1_5_2">#N/A</definedName>
    <definedName name="___RSK1_1_6">#N/A</definedName>
    <definedName name="___RSK1_1_6_1">#N/A</definedName>
    <definedName name="___RSK1_1_6_2">#N/A</definedName>
    <definedName name="___RSK1_1_7">#N/A</definedName>
    <definedName name="___RSK1_1_7_1">#N/A</definedName>
    <definedName name="___RSK1_1_7_2">#N/A</definedName>
    <definedName name="___RSK1_2">#N/A</definedName>
    <definedName name="___RSK1_2_1">#N/A</definedName>
    <definedName name="___RSK1_2_1_1">#N/A</definedName>
    <definedName name="___RSK1_2_2">#N/A</definedName>
    <definedName name="___RSK1_3">#N/A</definedName>
    <definedName name="___RSK1_3_1">#N/A</definedName>
    <definedName name="___RSK1_3_2">#N/A</definedName>
    <definedName name="___RSK1_4">#N/A</definedName>
    <definedName name="___RSK1_4_1">#N/A</definedName>
    <definedName name="___RSK1_4_2">#N/A</definedName>
    <definedName name="___RSK1_5">#N/A</definedName>
    <definedName name="___RSK1_5_1">#N/A</definedName>
    <definedName name="___RSK1_5_2">#N/A</definedName>
    <definedName name="___RSK1_6">#N/A</definedName>
    <definedName name="___RSK1_6_1">#N/A</definedName>
    <definedName name="___RSK1_6_2">#N/A</definedName>
    <definedName name="___RSK1_7">#N/A</definedName>
    <definedName name="___RSK1_7_1">#N/A</definedName>
    <definedName name="___RSK1_7_2">#N/A</definedName>
    <definedName name="___RSK2">#N/A</definedName>
    <definedName name="___RSK2_1">#N/A</definedName>
    <definedName name="___RSK2_1_1">#N/A</definedName>
    <definedName name="___RSK2_1_1_1">#N/A</definedName>
    <definedName name="___RSK2_1_1_1_1">#N/A</definedName>
    <definedName name="___RSK2_1_1_1_1_1">#N/A</definedName>
    <definedName name="___RSK2_1_1_2">#N/A</definedName>
    <definedName name="___RSK2_1_2">#N/A</definedName>
    <definedName name="___RSK2_1_2_1">#N/A</definedName>
    <definedName name="___RSK2_1_2_1_1">#N/A</definedName>
    <definedName name="___RSK2_1_2_2">#N/A</definedName>
    <definedName name="___RSK2_1_3">#N/A</definedName>
    <definedName name="___RSK2_1_3_1">#N/A</definedName>
    <definedName name="___RSK2_1_3_2">#N/A</definedName>
    <definedName name="___RSK2_1_4">#N/A</definedName>
    <definedName name="___RSK2_1_4_1">#N/A</definedName>
    <definedName name="___RSK2_1_4_2">#N/A</definedName>
    <definedName name="___RSK2_1_5">#N/A</definedName>
    <definedName name="___RSK2_1_5_1">#N/A</definedName>
    <definedName name="___RSK2_1_5_2">#N/A</definedName>
    <definedName name="___RSK2_1_6">#N/A</definedName>
    <definedName name="___RSK2_1_6_1">#N/A</definedName>
    <definedName name="___RSK2_1_6_2">#N/A</definedName>
    <definedName name="___RSK2_1_7">#N/A</definedName>
    <definedName name="___RSK2_1_7_1">#N/A</definedName>
    <definedName name="___RSK2_1_7_2">#N/A</definedName>
    <definedName name="___RSK2_2">#N/A</definedName>
    <definedName name="___RSK2_2_1">#N/A</definedName>
    <definedName name="___RSK2_2_1_1">#N/A</definedName>
    <definedName name="___RSK2_2_2">#N/A</definedName>
    <definedName name="___RSK2_3">#N/A</definedName>
    <definedName name="___RSK2_3_1">#N/A</definedName>
    <definedName name="___RSK2_3_2">#N/A</definedName>
    <definedName name="___RSK2_4">#N/A</definedName>
    <definedName name="___RSK2_4_1">#N/A</definedName>
    <definedName name="___RSK2_4_2">#N/A</definedName>
    <definedName name="___RSK2_5">#N/A</definedName>
    <definedName name="___RSK2_5_1">#N/A</definedName>
    <definedName name="___RSK2_5_2">#N/A</definedName>
    <definedName name="___RSK2_6">#N/A</definedName>
    <definedName name="___RSK2_6_1">#N/A</definedName>
    <definedName name="___RSK2_6_2">#N/A</definedName>
    <definedName name="___RSK2_7">#N/A</definedName>
    <definedName name="___RSK2_7_1">#N/A</definedName>
    <definedName name="___RSK2_7_2">#N/A</definedName>
    <definedName name="___RSK3">#N/A</definedName>
    <definedName name="___RSK3_1">#N/A</definedName>
    <definedName name="___RSK3_1_1">#N/A</definedName>
    <definedName name="___RSK3_1_1_1">#N/A</definedName>
    <definedName name="___RSK3_1_1_1_1">#N/A</definedName>
    <definedName name="___RSK3_1_1_1_1_1">#N/A</definedName>
    <definedName name="___RSK3_1_1_2">#N/A</definedName>
    <definedName name="___RSK3_1_2">#N/A</definedName>
    <definedName name="___RSK3_1_2_1">#N/A</definedName>
    <definedName name="___RSK3_1_2_1_1">#N/A</definedName>
    <definedName name="___RSK3_1_2_2">#N/A</definedName>
    <definedName name="___RSK3_1_3">#N/A</definedName>
    <definedName name="___RSK3_1_3_1">#N/A</definedName>
    <definedName name="___RSK3_1_3_2">#N/A</definedName>
    <definedName name="___RSK3_1_4">#N/A</definedName>
    <definedName name="___RSK3_1_4_1">#N/A</definedName>
    <definedName name="___RSK3_1_4_2">#N/A</definedName>
    <definedName name="___RSK3_1_5">#N/A</definedName>
    <definedName name="___RSK3_1_5_1">#N/A</definedName>
    <definedName name="___RSK3_1_5_2">#N/A</definedName>
    <definedName name="___RSK3_1_6">#N/A</definedName>
    <definedName name="___RSK3_1_6_1">#N/A</definedName>
    <definedName name="___RSK3_1_6_2">#N/A</definedName>
    <definedName name="___RSK3_1_7">#N/A</definedName>
    <definedName name="___RSK3_1_7_1">#N/A</definedName>
    <definedName name="___RSK3_1_7_2">#N/A</definedName>
    <definedName name="___RSK3_2">#N/A</definedName>
    <definedName name="___RSK3_2_1">#N/A</definedName>
    <definedName name="___RSK3_2_1_1">#N/A</definedName>
    <definedName name="___RSK3_2_2">#N/A</definedName>
    <definedName name="___RSK3_3">#N/A</definedName>
    <definedName name="___RSK3_3_1">#N/A</definedName>
    <definedName name="___RSK3_3_2">#N/A</definedName>
    <definedName name="___RSK3_4">#N/A</definedName>
    <definedName name="___RSK3_4_1">#N/A</definedName>
    <definedName name="___RSK3_4_2">#N/A</definedName>
    <definedName name="___RSK3_5">#N/A</definedName>
    <definedName name="___RSK3_5_1">#N/A</definedName>
    <definedName name="___RSK3_5_2">#N/A</definedName>
    <definedName name="___RSK3_6">#N/A</definedName>
    <definedName name="___RSK3_6_1">#N/A</definedName>
    <definedName name="___RSK3_6_2">#N/A</definedName>
    <definedName name="___RSK3_7">#N/A</definedName>
    <definedName name="___RSK3_7_1">#N/A</definedName>
    <definedName name="___RSK3_7_2">#N/A</definedName>
    <definedName name="__1">NA()</definedName>
    <definedName name="__2">#N/A</definedName>
    <definedName name="__LF1">#N/A</definedName>
    <definedName name="__LF1_1">#N/A</definedName>
    <definedName name="__LF1_1_1">#N/A</definedName>
    <definedName name="__LF1_1_1_1">#N/A</definedName>
    <definedName name="__LF1_1_1_1_1">#N/A</definedName>
    <definedName name="__LF1_1_1_1_1_1">#N/A</definedName>
    <definedName name="__LF1_1_1_2">#N/A</definedName>
    <definedName name="__LF1_1_2">#N/A</definedName>
    <definedName name="__LF1_1_2_1">#N/A</definedName>
    <definedName name="__LF1_1_2_1_1">#N/A</definedName>
    <definedName name="__LF1_1_2_2">#N/A</definedName>
    <definedName name="__LF1_1_3">#N/A</definedName>
    <definedName name="__LF1_1_3_1">#N/A</definedName>
    <definedName name="__LF1_1_3_2">#N/A</definedName>
    <definedName name="__LF1_1_4">#N/A</definedName>
    <definedName name="__LF1_1_4_1">#N/A</definedName>
    <definedName name="__LF1_1_4_2">#N/A</definedName>
    <definedName name="__LF1_1_5">#N/A</definedName>
    <definedName name="__LF1_1_5_1">#N/A</definedName>
    <definedName name="__LF1_1_5_2">#N/A</definedName>
    <definedName name="__LF1_1_6">#N/A</definedName>
    <definedName name="__LF1_1_6_1">#N/A</definedName>
    <definedName name="__LF1_1_6_2">#N/A</definedName>
    <definedName name="__LF1_1_7">#N/A</definedName>
    <definedName name="__LF1_1_7_1">#N/A</definedName>
    <definedName name="__LF1_1_7_2">#N/A</definedName>
    <definedName name="__LF1_2">#N/A</definedName>
    <definedName name="__LF1_2_1">#N/A</definedName>
    <definedName name="__LF1_2_1_1">#N/A</definedName>
    <definedName name="__LF1_2_2">#N/A</definedName>
    <definedName name="__LF1_3">#N/A</definedName>
    <definedName name="__LF1_3_1">#N/A</definedName>
    <definedName name="__LF1_3_2">#N/A</definedName>
    <definedName name="__LF1_4">#N/A</definedName>
    <definedName name="__LF1_4_1">#N/A</definedName>
    <definedName name="__LF1_4_2">#N/A</definedName>
    <definedName name="__LF1_5">#N/A</definedName>
    <definedName name="__LF1_5_1">#N/A</definedName>
    <definedName name="__LF1_5_2">#N/A</definedName>
    <definedName name="__LF1_6">#N/A</definedName>
    <definedName name="__LF1_6_1">#N/A</definedName>
    <definedName name="__LF1_6_2">#N/A</definedName>
    <definedName name="__LF1_7">#N/A</definedName>
    <definedName name="__LF1_7_1">#N/A</definedName>
    <definedName name="__LF1_7_2">#N/A</definedName>
    <definedName name="_01.501">NA()</definedName>
    <definedName name="_01.501_1">NA()</definedName>
    <definedName name="_01.501_2">#N/A</definedName>
    <definedName name="_03.568_2">[1]rayıc!#REF!</definedName>
    <definedName name="_03.568_2_1">[1]rayıc!#REF!</definedName>
    <definedName name="_03.568_2_1_1">#REF!</definedName>
    <definedName name="_03.568_2_2">[1]rayıc!#REF!</definedName>
    <definedName name="_03.568_2_2_1">#REF!</definedName>
    <definedName name="_03.568_2_2_1_1">#REF!</definedName>
    <definedName name="_03.568_2_3">#REF!</definedName>
    <definedName name="_03.568_2_3_1">#REF!</definedName>
    <definedName name="_14.022_1">#N/A</definedName>
    <definedName name="_14.022_1_1">#N/A</definedName>
    <definedName name="_14.022_1_2">#N/A</definedName>
    <definedName name="_14.022_2">#N/A</definedName>
    <definedName name="_14.022_2_1">#N/A</definedName>
    <definedName name="_14.022_2_2">#N/A</definedName>
    <definedName name="_14.022_3">#N/A</definedName>
    <definedName name="_14.022_3_1">#N/A</definedName>
    <definedName name="_14.022_3_2">#N/A</definedName>
    <definedName name="_14.022_4">#N/A</definedName>
    <definedName name="_14.022_4_1">#N/A</definedName>
    <definedName name="_14.022_4_2">#N/A</definedName>
    <definedName name="_15.001">#N/A</definedName>
    <definedName name="_15.001_1">#N/A</definedName>
    <definedName name="_15.001_2">#N/A</definedName>
    <definedName name="_15.001B">#N/A</definedName>
    <definedName name="_15.001B_1">#N/A</definedName>
    <definedName name="_15.001B_2">#N/A</definedName>
    <definedName name="_15.003">#N/A</definedName>
    <definedName name="_15.003_1">#N/A</definedName>
    <definedName name="_15.003_2">#N/A</definedName>
    <definedName name="_15.003B">#N/A</definedName>
    <definedName name="_15.003B_1">#N/A</definedName>
    <definedName name="_15.003B_2">#N/A</definedName>
    <definedName name="_15.004">#N/A</definedName>
    <definedName name="_15.004_1">#N/A</definedName>
    <definedName name="_15.004_2">#N/A</definedName>
    <definedName name="_15.004B">#N/A</definedName>
    <definedName name="_15.004B_1">#N/A</definedName>
    <definedName name="_15.004B_2">#N/A</definedName>
    <definedName name="_15.005">#N/A</definedName>
    <definedName name="_15.005_1">#N/A</definedName>
    <definedName name="_15.005_2">#N/A</definedName>
    <definedName name="_15.006">#N/A</definedName>
    <definedName name="_15.006_1">#N/A</definedName>
    <definedName name="_15.006_2">#N/A</definedName>
    <definedName name="_15.006B">#N/A</definedName>
    <definedName name="_15.006B_1">#N/A</definedName>
    <definedName name="_15.006B_2">#N/A</definedName>
    <definedName name="_15.008">#N/A</definedName>
    <definedName name="_15.008_1">#N/A</definedName>
    <definedName name="_15.008_2">#N/A</definedName>
    <definedName name="_15.008B">#N/A</definedName>
    <definedName name="_15.008B_1">#N/A</definedName>
    <definedName name="_15.008B_2">#N/A</definedName>
    <definedName name="_15.009">#N/A</definedName>
    <definedName name="_15.009_1">#N/A</definedName>
    <definedName name="_15.009_2">#N/A</definedName>
    <definedName name="_15.009B">#N/A</definedName>
    <definedName name="_15.009B_1">#N/A</definedName>
    <definedName name="_15.009B_2">#N/A</definedName>
    <definedName name="_15.010">#N/A</definedName>
    <definedName name="_15.010_1">#N/A</definedName>
    <definedName name="_15.010_2">#N/A</definedName>
    <definedName name="_15.010B">#N/A</definedName>
    <definedName name="_15.010B_1">#N/A</definedName>
    <definedName name="_15.010B_2">#N/A</definedName>
    <definedName name="_15.012">#N/A</definedName>
    <definedName name="_15.012_1">#N/A</definedName>
    <definedName name="_15.012_2">#N/A</definedName>
    <definedName name="_15.012B">#N/A</definedName>
    <definedName name="_15.012B_1">#N/A</definedName>
    <definedName name="_15.012B_2">#N/A</definedName>
    <definedName name="_15.013">#N/A</definedName>
    <definedName name="_15.013_1">#N/A</definedName>
    <definedName name="_15.013_2">#N/A</definedName>
    <definedName name="_15.013B">#N/A</definedName>
    <definedName name="_15.013B_1">#N/A</definedName>
    <definedName name="_15.013B_2">#N/A</definedName>
    <definedName name="_15.014">#N/A</definedName>
    <definedName name="_15.014_1">#N/A</definedName>
    <definedName name="_15.014_2">#N/A</definedName>
    <definedName name="_15.014B">#N/A</definedName>
    <definedName name="_15.014B_1">#N/A</definedName>
    <definedName name="_15.014B_2">#N/A</definedName>
    <definedName name="_15.016">#N/A</definedName>
    <definedName name="_15.016_1">#N/A</definedName>
    <definedName name="_15.016_2">#N/A</definedName>
    <definedName name="_15.016B">#N/A</definedName>
    <definedName name="_15.016B_1">#N/A</definedName>
    <definedName name="_15.016B_2">#N/A</definedName>
    <definedName name="_15.017">#N/A</definedName>
    <definedName name="_15.017_1">#N/A</definedName>
    <definedName name="_15.017_2">#N/A</definedName>
    <definedName name="_15.017B">#N/A</definedName>
    <definedName name="_15.017B_1">#N/A</definedName>
    <definedName name="_15.017B_2">#N/A</definedName>
    <definedName name="_15.018">#N/A</definedName>
    <definedName name="_15.018_1">#N/A</definedName>
    <definedName name="_15.018_2">#N/A</definedName>
    <definedName name="_15.018B">#N/A</definedName>
    <definedName name="_15.018B_1">#N/A</definedName>
    <definedName name="_15.018B_2">#N/A</definedName>
    <definedName name="_15.022">#N/A</definedName>
    <definedName name="_15.022_1">#N/A</definedName>
    <definedName name="_15.022_2">#N/A</definedName>
    <definedName name="_15.022B">#N/A</definedName>
    <definedName name="_15.022B_1">#N/A</definedName>
    <definedName name="_15.022B_2">#N/A</definedName>
    <definedName name="_15.023">#N/A</definedName>
    <definedName name="_15.023_1">#N/A</definedName>
    <definedName name="_15.023_2">#N/A</definedName>
    <definedName name="_15.023B">#N/A</definedName>
    <definedName name="_15.023B_1">#N/A</definedName>
    <definedName name="_15.023B_2">#N/A</definedName>
    <definedName name="_15.044">#N/A</definedName>
    <definedName name="_15.044_1">#N/A</definedName>
    <definedName name="_15.044_2">#N/A</definedName>
    <definedName name="_15.045">#N/A</definedName>
    <definedName name="_15.045_1">#N/A</definedName>
    <definedName name="_15.045_2">#N/A</definedName>
    <definedName name="_15.046">#N/A</definedName>
    <definedName name="_15.046_1">#N/A</definedName>
    <definedName name="_15.046_2">#N/A</definedName>
    <definedName name="_2205">#N/A</definedName>
    <definedName name="_2205_1">#N/A</definedName>
    <definedName name="_2205_2">#N/A</definedName>
    <definedName name="_2206">#N/A</definedName>
    <definedName name="_2206_1">#N/A</definedName>
    <definedName name="_2206_2">#N/A</definedName>
    <definedName name="_2207">#N/A</definedName>
    <definedName name="_2207_1">#N/A</definedName>
    <definedName name="_2207_2">#N/A</definedName>
    <definedName name="_AGK1">#N/A</definedName>
    <definedName name="_AGK1_1">#N/A</definedName>
    <definedName name="_AGK1_1_1">#N/A</definedName>
    <definedName name="_AGK1_1_1_1">#N/A</definedName>
    <definedName name="_AGK1_1_1_1_1">#N/A</definedName>
    <definedName name="_AGK1_1_1_1_1_1">#N/A</definedName>
    <definedName name="_AGK1_1_1_2">#N/A</definedName>
    <definedName name="_AGK1_1_2">#N/A</definedName>
    <definedName name="_AGK1_1_2_1">#N/A</definedName>
    <definedName name="_AGK1_1_2_1_1">#N/A</definedName>
    <definedName name="_AGK1_1_2_2">#N/A</definedName>
    <definedName name="_AGK1_1_3">#N/A</definedName>
    <definedName name="_AGK1_1_3_1">#N/A</definedName>
    <definedName name="_AGK1_1_3_2">#N/A</definedName>
    <definedName name="_AGK1_1_4">#N/A</definedName>
    <definedName name="_AGK1_1_4_1">#N/A</definedName>
    <definedName name="_AGK1_1_4_2">#N/A</definedName>
    <definedName name="_AGK1_1_5">#N/A</definedName>
    <definedName name="_AGK1_1_5_1">#N/A</definedName>
    <definedName name="_AGK1_1_5_2">#N/A</definedName>
    <definedName name="_AGK1_1_6">#N/A</definedName>
    <definedName name="_AGK1_1_6_1">#N/A</definedName>
    <definedName name="_AGK1_1_6_2">#N/A</definedName>
    <definedName name="_AGK1_1_7">#N/A</definedName>
    <definedName name="_AGK1_1_7_1">#N/A</definedName>
    <definedName name="_AGK1_1_7_2">#N/A</definedName>
    <definedName name="_AGK1_2">#N/A</definedName>
    <definedName name="_AGK1_2_1">#N/A</definedName>
    <definedName name="_AGK1_2_1_1">#N/A</definedName>
    <definedName name="_AGK1_2_2">#N/A</definedName>
    <definedName name="_AGK1_3">#N/A</definedName>
    <definedName name="_AGK1_3_1">#N/A</definedName>
    <definedName name="_AGK1_3_2">#N/A</definedName>
    <definedName name="_AGK1_4">#N/A</definedName>
    <definedName name="_AGK1_4_1">#N/A</definedName>
    <definedName name="_AGK1_4_2">#N/A</definedName>
    <definedName name="_AGK1_5">#N/A</definedName>
    <definedName name="_AGK1_5_1">#N/A</definedName>
    <definedName name="_AGK1_5_2">#N/A</definedName>
    <definedName name="_AGK1_6">#N/A</definedName>
    <definedName name="_AGK1_6_1">#N/A</definedName>
    <definedName name="_AGK1_6_2">#N/A</definedName>
    <definedName name="_AGK1_7">#N/A</definedName>
    <definedName name="_AGK1_7_1">#N/A</definedName>
    <definedName name="_AGK1_7_2">#N/A</definedName>
    <definedName name="_AGK2">#N/A</definedName>
    <definedName name="_AGK2_1">#N/A</definedName>
    <definedName name="_AGK2_1_1">#N/A</definedName>
    <definedName name="_AGK2_1_1_1">#N/A</definedName>
    <definedName name="_AGK2_1_1_1_1">#N/A</definedName>
    <definedName name="_AGK2_1_1_1_1_1">#N/A</definedName>
    <definedName name="_AGK2_1_1_2">#N/A</definedName>
    <definedName name="_AGK2_1_2">#N/A</definedName>
    <definedName name="_AGK2_1_2_1">#N/A</definedName>
    <definedName name="_AGK2_1_2_1_1">#N/A</definedName>
    <definedName name="_AGK2_1_2_2">#N/A</definedName>
    <definedName name="_AGK2_1_3">#N/A</definedName>
    <definedName name="_AGK2_1_3_1">#N/A</definedName>
    <definedName name="_AGK2_1_3_2">#N/A</definedName>
    <definedName name="_AGK2_1_4">#N/A</definedName>
    <definedName name="_AGK2_1_4_1">#N/A</definedName>
    <definedName name="_AGK2_1_4_2">#N/A</definedName>
    <definedName name="_AGK2_1_5">#N/A</definedName>
    <definedName name="_AGK2_1_5_1">#N/A</definedName>
    <definedName name="_AGK2_1_5_2">#N/A</definedName>
    <definedName name="_AGK2_1_6">#N/A</definedName>
    <definedName name="_AGK2_1_6_1">#N/A</definedName>
    <definedName name="_AGK2_1_6_2">#N/A</definedName>
    <definedName name="_AGK2_1_7">#N/A</definedName>
    <definedName name="_AGK2_1_7_1">#N/A</definedName>
    <definedName name="_AGK2_1_7_2">#N/A</definedName>
    <definedName name="_AGK2_2">#N/A</definedName>
    <definedName name="_AGK2_2_1">#N/A</definedName>
    <definedName name="_AGK2_2_1_1">#N/A</definedName>
    <definedName name="_AGK2_2_2">#N/A</definedName>
    <definedName name="_AGK2_3">#N/A</definedName>
    <definedName name="_AGK2_3_1">#N/A</definedName>
    <definedName name="_AGK2_3_2">#N/A</definedName>
    <definedName name="_AGK2_4">#N/A</definedName>
    <definedName name="_AGK2_4_1">#N/A</definedName>
    <definedName name="_AGK2_4_2">#N/A</definedName>
    <definedName name="_AGK2_5">#N/A</definedName>
    <definedName name="_AGK2_5_1">#N/A</definedName>
    <definedName name="_AGK2_5_2">#N/A</definedName>
    <definedName name="_AGK2_6">#N/A</definedName>
    <definedName name="_AGK2_6_1">#N/A</definedName>
    <definedName name="_AGK2_6_2">#N/A</definedName>
    <definedName name="_AGK2_7">#N/A</definedName>
    <definedName name="_AGK2_7_1">#N/A</definedName>
    <definedName name="_AGK2_7_2">#N/A</definedName>
    <definedName name="_AGK3">#N/A</definedName>
    <definedName name="_AGK3_1">#N/A</definedName>
    <definedName name="_AGK3_1_1">#N/A</definedName>
    <definedName name="_AGK3_1_1_1">#N/A</definedName>
    <definedName name="_AGK3_1_1_1_1">#N/A</definedName>
    <definedName name="_AGK3_1_1_1_1_1">#N/A</definedName>
    <definedName name="_AGK3_1_1_2">#N/A</definedName>
    <definedName name="_AGK3_1_2">#N/A</definedName>
    <definedName name="_AGK3_1_2_1">#N/A</definedName>
    <definedName name="_AGK3_1_2_1_1">#N/A</definedName>
    <definedName name="_AGK3_1_2_2">#N/A</definedName>
    <definedName name="_AGK3_1_3">#N/A</definedName>
    <definedName name="_AGK3_1_3_1">#N/A</definedName>
    <definedName name="_AGK3_1_3_2">#N/A</definedName>
    <definedName name="_AGK3_1_4">#N/A</definedName>
    <definedName name="_AGK3_1_4_1">#N/A</definedName>
    <definedName name="_AGK3_1_4_2">#N/A</definedName>
    <definedName name="_AGK3_1_5">#N/A</definedName>
    <definedName name="_AGK3_1_5_1">#N/A</definedName>
    <definedName name="_AGK3_1_5_2">#N/A</definedName>
    <definedName name="_AGK3_1_6">#N/A</definedName>
    <definedName name="_AGK3_1_6_1">#N/A</definedName>
    <definedName name="_AGK3_1_6_2">#N/A</definedName>
    <definedName name="_AGK3_1_7">#N/A</definedName>
    <definedName name="_AGK3_1_7_1">#N/A</definedName>
    <definedName name="_AGK3_1_7_2">#N/A</definedName>
    <definedName name="_AGK3_2">#N/A</definedName>
    <definedName name="_AGK3_2_1">#N/A</definedName>
    <definedName name="_AGK3_2_1_1">#N/A</definedName>
    <definedName name="_AGK3_2_2">#N/A</definedName>
    <definedName name="_AGK3_3">#N/A</definedName>
    <definedName name="_AGK3_3_1">#N/A</definedName>
    <definedName name="_AGK3_3_2">#N/A</definedName>
    <definedName name="_AGK3_4">#N/A</definedName>
    <definedName name="_AGK3_4_1">#N/A</definedName>
    <definedName name="_AGK3_4_2">#N/A</definedName>
    <definedName name="_AGK3_5">#N/A</definedName>
    <definedName name="_AGK3_5_1">#N/A</definedName>
    <definedName name="_AGK3_5_2">#N/A</definedName>
    <definedName name="_AGK3_6">#N/A</definedName>
    <definedName name="_AGK3_6_1">#N/A</definedName>
    <definedName name="_AGK3_6_2">#N/A</definedName>
    <definedName name="_AGK3_7">#N/A</definedName>
    <definedName name="_AGK3_7_1">#N/A</definedName>
    <definedName name="_AGK3_7_2">#N/A</definedName>
    <definedName name="_AGK4">#N/A</definedName>
    <definedName name="_AGK4_1">#N/A</definedName>
    <definedName name="_AGK4_1_1">#N/A</definedName>
    <definedName name="_AGK4_1_1_1">#N/A</definedName>
    <definedName name="_AGK4_1_1_1_1">#N/A</definedName>
    <definedName name="_AGK4_1_1_1_1_1">#N/A</definedName>
    <definedName name="_AGK4_1_1_2">#N/A</definedName>
    <definedName name="_AGK4_1_2">#N/A</definedName>
    <definedName name="_AGK4_1_2_1">#N/A</definedName>
    <definedName name="_AGK4_1_2_1_1">#N/A</definedName>
    <definedName name="_AGK4_1_2_2">#N/A</definedName>
    <definedName name="_AGK4_1_3">#N/A</definedName>
    <definedName name="_AGK4_1_3_1">#N/A</definedName>
    <definedName name="_AGK4_1_3_2">#N/A</definedName>
    <definedName name="_AGK4_1_4">#N/A</definedName>
    <definedName name="_AGK4_1_4_1">#N/A</definedName>
    <definedName name="_AGK4_1_4_2">#N/A</definedName>
    <definedName name="_AGK4_1_5">#N/A</definedName>
    <definedName name="_AGK4_1_5_1">#N/A</definedName>
    <definedName name="_AGK4_1_5_2">#N/A</definedName>
    <definedName name="_AGK4_1_6">#N/A</definedName>
    <definedName name="_AGK4_1_6_1">#N/A</definedName>
    <definedName name="_AGK4_1_6_2">#N/A</definedName>
    <definedName name="_AGK4_1_7">#N/A</definedName>
    <definedName name="_AGK4_1_7_1">#N/A</definedName>
    <definedName name="_AGK4_1_7_2">#N/A</definedName>
    <definedName name="_AGK4_2">#N/A</definedName>
    <definedName name="_AGK4_2_1">#N/A</definedName>
    <definedName name="_AGK4_2_1_1">#N/A</definedName>
    <definedName name="_AGK4_2_2">#N/A</definedName>
    <definedName name="_AGK4_3">#N/A</definedName>
    <definedName name="_AGK4_3_1">#N/A</definedName>
    <definedName name="_AGK4_3_2">#N/A</definedName>
    <definedName name="_AGK4_4">#N/A</definedName>
    <definedName name="_AGK4_4_1">#N/A</definedName>
    <definedName name="_AGK4_4_2">#N/A</definedName>
    <definedName name="_AGK4_5">#N/A</definedName>
    <definedName name="_AGK4_5_1">#N/A</definedName>
    <definedName name="_AGK4_5_2">#N/A</definedName>
    <definedName name="_AGK4_6">#N/A</definedName>
    <definedName name="_AGK4_6_1">#N/A</definedName>
    <definedName name="_AGK4_6_2">#N/A</definedName>
    <definedName name="_AGK4_7">#N/A</definedName>
    <definedName name="_AGK4_7_1">#N/A</definedName>
    <definedName name="_AGK4_7_2">#N/A</definedName>
    <definedName name="_AGK5">#N/A</definedName>
    <definedName name="_AGK5_1">#N/A</definedName>
    <definedName name="_AGK5_1_1">#N/A</definedName>
    <definedName name="_AGK5_1_1_1">#N/A</definedName>
    <definedName name="_AGK5_1_1_1_1">#N/A</definedName>
    <definedName name="_AGK5_1_1_1_1_1">#N/A</definedName>
    <definedName name="_AGK5_1_1_2">#N/A</definedName>
    <definedName name="_AGK5_1_2">#N/A</definedName>
    <definedName name="_AGK5_1_2_1">#N/A</definedName>
    <definedName name="_AGK5_1_2_1_1">#N/A</definedName>
    <definedName name="_AGK5_1_2_2">#N/A</definedName>
    <definedName name="_AGK5_1_3">#N/A</definedName>
    <definedName name="_AGK5_1_3_1">#N/A</definedName>
    <definedName name="_AGK5_1_3_2">#N/A</definedName>
    <definedName name="_AGK5_1_4">#N/A</definedName>
    <definedName name="_AGK5_1_4_1">#N/A</definedName>
    <definedName name="_AGK5_1_4_2">#N/A</definedName>
    <definedName name="_AGK5_1_5">#N/A</definedName>
    <definedName name="_AGK5_1_5_1">#N/A</definedName>
    <definedName name="_AGK5_1_5_2">#N/A</definedName>
    <definedName name="_AGK5_1_6">#N/A</definedName>
    <definedName name="_AGK5_1_6_1">#N/A</definedName>
    <definedName name="_AGK5_1_6_2">#N/A</definedName>
    <definedName name="_AGK5_1_7">#N/A</definedName>
    <definedName name="_AGK5_1_7_1">#N/A</definedName>
    <definedName name="_AGK5_1_7_2">#N/A</definedName>
    <definedName name="_AGK5_2">#N/A</definedName>
    <definedName name="_AGK5_2_1">#N/A</definedName>
    <definedName name="_AGK5_2_1_1">#N/A</definedName>
    <definedName name="_AGK5_2_2">#N/A</definedName>
    <definedName name="_AGK5_3">#N/A</definedName>
    <definedName name="_AGK5_3_1">#N/A</definedName>
    <definedName name="_AGK5_3_2">#N/A</definedName>
    <definedName name="_AGK5_4">#N/A</definedName>
    <definedName name="_AGK5_4_1">#N/A</definedName>
    <definedName name="_AGK5_4_2">#N/A</definedName>
    <definedName name="_AGK5_5">#N/A</definedName>
    <definedName name="_AGK5_5_1">#N/A</definedName>
    <definedName name="_AGK5_5_2">#N/A</definedName>
    <definedName name="_AGK5_6">#N/A</definedName>
    <definedName name="_AGK5_6_1">#N/A</definedName>
    <definedName name="_AGK5_6_2">#N/A</definedName>
    <definedName name="_AGK5_7">#N/A</definedName>
    <definedName name="_AGK5_7_1">#N/A</definedName>
    <definedName name="_AGK5_7_2">#N/A</definedName>
    <definedName name="_FDW3">#REF!</definedName>
    <definedName name="_FDW3_1">#REF!</definedName>
    <definedName name="_FDW3_2">"$#BAŞV!.#BAŞV!#BAŞV!"</definedName>
    <definedName name="_fyt2005">#REF!</definedName>
    <definedName name="_fyt2005_1">#REF!</definedName>
    <definedName name="_fyt2005_2">"$#BAŞV!.#BAŞV!#BAŞV!"</definedName>
    <definedName name="_KBA1">#N/A</definedName>
    <definedName name="_KBA1_1">#N/A</definedName>
    <definedName name="_KBA1_1_1">#N/A</definedName>
    <definedName name="_KBA1_1_1_1">#N/A</definedName>
    <definedName name="_KBA1_1_1_1_1">#N/A</definedName>
    <definedName name="_KBA1_1_1_1_1_1">#N/A</definedName>
    <definedName name="_KBA1_1_1_2">#N/A</definedName>
    <definedName name="_KBA1_1_2">#N/A</definedName>
    <definedName name="_KBA1_1_2_1">#N/A</definedName>
    <definedName name="_KBA1_1_2_1_1">#N/A</definedName>
    <definedName name="_KBA1_1_2_2">#N/A</definedName>
    <definedName name="_KBA1_1_3">#N/A</definedName>
    <definedName name="_KBA1_1_3_1">#N/A</definedName>
    <definedName name="_KBA1_1_3_2">#N/A</definedName>
    <definedName name="_KBA1_1_4">#N/A</definedName>
    <definedName name="_KBA1_1_4_1">#N/A</definedName>
    <definedName name="_KBA1_1_4_2">#N/A</definedName>
    <definedName name="_KBA1_1_5">#N/A</definedName>
    <definedName name="_KBA1_1_5_1">#N/A</definedName>
    <definedName name="_KBA1_1_5_2">#N/A</definedName>
    <definedName name="_KBA1_1_6">#N/A</definedName>
    <definedName name="_KBA1_1_6_1">#N/A</definedName>
    <definedName name="_KBA1_1_6_2">#N/A</definedName>
    <definedName name="_KBA1_1_7">#N/A</definedName>
    <definedName name="_KBA1_1_7_1">#N/A</definedName>
    <definedName name="_KBA1_1_7_2">#N/A</definedName>
    <definedName name="_KBA1_2">#N/A</definedName>
    <definedName name="_KBA1_2_1">#N/A</definedName>
    <definedName name="_KBA1_2_1_1">#N/A</definedName>
    <definedName name="_KBA1_2_2">#N/A</definedName>
    <definedName name="_KBA1_3">#N/A</definedName>
    <definedName name="_KBA1_3_1">#N/A</definedName>
    <definedName name="_KBA1_3_2">#N/A</definedName>
    <definedName name="_KBA1_4">#N/A</definedName>
    <definedName name="_KBA1_4_1">#N/A</definedName>
    <definedName name="_KBA1_4_2">#N/A</definedName>
    <definedName name="_KBA1_5">#N/A</definedName>
    <definedName name="_KBA1_5_1">#N/A</definedName>
    <definedName name="_KBA1_5_2">#N/A</definedName>
    <definedName name="_KBA1_6">#N/A</definedName>
    <definedName name="_KBA1_6_1">#N/A</definedName>
    <definedName name="_KBA1_6_2">#N/A</definedName>
    <definedName name="_KBA1_7">#N/A</definedName>
    <definedName name="_KBA1_7_1">#N/A</definedName>
    <definedName name="_KBA1_7_2">#N/A</definedName>
    <definedName name="_KBA2">#N/A</definedName>
    <definedName name="_KBA2_1">#N/A</definedName>
    <definedName name="_KBA2_1_1">#N/A</definedName>
    <definedName name="_KBA2_1_1_1">#N/A</definedName>
    <definedName name="_KBA2_1_1_1_1">#N/A</definedName>
    <definedName name="_KBA2_1_1_1_1_1">#N/A</definedName>
    <definedName name="_KBA2_1_1_2">#N/A</definedName>
    <definedName name="_KBA2_1_2">#N/A</definedName>
    <definedName name="_KBA2_1_2_1">#N/A</definedName>
    <definedName name="_KBA2_1_2_1_1">#N/A</definedName>
    <definedName name="_KBA2_1_2_2">#N/A</definedName>
    <definedName name="_KBA2_1_3">#N/A</definedName>
    <definedName name="_KBA2_1_3_1">#N/A</definedName>
    <definedName name="_KBA2_1_3_2">#N/A</definedName>
    <definedName name="_KBA2_1_4">#N/A</definedName>
    <definedName name="_KBA2_1_4_1">#N/A</definedName>
    <definedName name="_KBA2_1_4_2">#N/A</definedName>
    <definedName name="_KBA2_1_5">#N/A</definedName>
    <definedName name="_KBA2_1_5_1">#N/A</definedName>
    <definedName name="_KBA2_1_5_2">#N/A</definedName>
    <definedName name="_KBA2_1_6">#N/A</definedName>
    <definedName name="_KBA2_1_6_1">#N/A</definedName>
    <definedName name="_KBA2_1_6_2">#N/A</definedName>
    <definedName name="_KBA2_1_7">#N/A</definedName>
    <definedName name="_KBA2_1_7_1">#N/A</definedName>
    <definedName name="_KBA2_1_7_2">#N/A</definedName>
    <definedName name="_KBA2_2">#N/A</definedName>
    <definedName name="_KBA2_2_1">#N/A</definedName>
    <definedName name="_KBA2_2_1_1">#N/A</definedName>
    <definedName name="_KBA2_2_2">#N/A</definedName>
    <definedName name="_KBA2_3">#N/A</definedName>
    <definedName name="_KBA2_3_1">#N/A</definedName>
    <definedName name="_KBA2_3_2">#N/A</definedName>
    <definedName name="_KBA2_4">#N/A</definedName>
    <definedName name="_KBA2_4_1">#N/A</definedName>
    <definedName name="_KBA2_4_2">#N/A</definedName>
    <definedName name="_KBA2_5">#N/A</definedName>
    <definedName name="_KBA2_5_1">#N/A</definedName>
    <definedName name="_KBA2_5_2">#N/A</definedName>
    <definedName name="_KBA2_6">#N/A</definedName>
    <definedName name="_KBA2_6_1">#N/A</definedName>
    <definedName name="_KBA2_6_2">#N/A</definedName>
    <definedName name="_KBA2_7">#N/A</definedName>
    <definedName name="_KBA2_7_1">#N/A</definedName>
    <definedName name="_KBA2_7_2">#N/A</definedName>
    <definedName name="_KR1">#N/A</definedName>
    <definedName name="_KR1_1">#N/A</definedName>
    <definedName name="_KR1_1_1">#N/A</definedName>
    <definedName name="_KR1_1_1_1">#N/A</definedName>
    <definedName name="_KR1_1_1_1_1">#N/A</definedName>
    <definedName name="_KR1_1_1_1_1_1">#N/A</definedName>
    <definedName name="_KR1_1_1_2">#N/A</definedName>
    <definedName name="_KR1_1_2">#N/A</definedName>
    <definedName name="_KR1_1_2_1">#N/A</definedName>
    <definedName name="_KR1_1_2_1_1">#N/A</definedName>
    <definedName name="_KR1_1_2_2">#N/A</definedName>
    <definedName name="_KR1_1_3">#N/A</definedName>
    <definedName name="_KR1_1_3_1">#N/A</definedName>
    <definedName name="_KR1_1_3_2">#N/A</definedName>
    <definedName name="_KR1_1_4">#N/A</definedName>
    <definedName name="_KR1_1_4_1">#N/A</definedName>
    <definedName name="_KR1_1_4_2">#N/A</definedName>
    <definedName name="_KR1_1_5">#N/A</definedName>
    <definedName name="_KR1_1_5_1">#N/A</definedName>
    <definedName name="_KR1_1_5_2">#N/A</definedName>
    <definedName name="_KR1_1_6">#N/A</definedName>
    <definedName name="_KR1_1_6_1">#N/A</definedName>
    <definedName name="_KR1_1_6_2">#N/A</definedName>
    <definedName name="_KR1_1_7">#N/A</definedName>
    <definedName name="_KR1_1_7_1">#N/A</definedName>
    <definedName name="_KR1_1_7_2">#N/A</definedName>
    <definedName name="_KR1_2">#N/A</definedName>
    <definedName name="_KR1_2_1">#N/A</definedName>
    <definedName name="_KR1_2_1_1">#N/A</definedName>
    <definedName name="_KR1_2_2">#N/A</definedName>
    <definedName name="_KR1_3">#N/A</definedName>
    <definedName name="_KR1_3_1">#N/A</definedName>
    <definedName name="_KR1_3_2">#N/A</definedName>
    <definedName name="_KR1_4">#N/A</definedName>
    <definedName name="_KR1_4_1">#N/A</definedName>
    <definedName name="_KR1_4_2">#N/A</definedName>
    <definedName name="_KR1_5">#N/A</definedName>
    <definedName name="_KR1_5_1">#N/A</definedName>
    <definedName name="_KR1_5_2">#N/A</definedName>
    <definedName name="_KR1_6">#N/A</definedName>
    <definedName name="_KR1_6_1">#N/A</definedName>
    <definedName name="_KR1_6_2">#N/A</definedName>
    <definedName name="_KR1_7">#N/A</definedName>
    <definedName name="_KR1_7_1">#N/A</definedName>
    <definedName name="_KR1_7_2">#N/A</definedName>
    <definedName name="_KR2">#N/A</definedName>
    <definedName name="_KR2_1">#N/A</definedName>
    <definedName name="_KR2_1_1">#N/A</definedName>
    <definedName name="_KR2_1_1_1">#N/A</definedName>
    <definedName name="_KR2_1_1_1_1">#N/A</definedName>
    <definedName name="_KR2_1_1_1_1_1">#N/A</definedName>
    <definedName name="_KR2_1_1_2">#N/A</definedName>
    <definedName name="_KR2_1_2">#N/A</definedName>
    <definedName name="_KR2_1_2_1">#N/A</definedName>
    <definedName name="_KR2_1_2_1_1">#N/A</definedName>
    <definedName name="_KR2_1_2_2">#N/A</definedName>
    <definedName name="_KR2_1_3">#N/A</definedName>
    <definedName name="_KR2_1_3_1">#N/A</definedName>
    <definedName name="_KR2_1_3_2">#N/A</definedName>
    <definedName name="_KR2_1_4">#N/A</definedName>
    <definedName name="_KR2_1_4_1">#N/A</definedName>
    <definedName name="_KR2_1_4_2">#N/A</definedName>
    <definedName name="_KR2_1_5">#N/A</definedName>
    <definedName name="_KR2_1_5_1">#N/A</definedName>
    <definedName name="_KR2_1_5_2">#N/A</definedName>
    <definedName name="_KR2_1_6">#N/A</definedName>
    <definedName name="_KR2_1_6_1">#N/A</definedName>
    <definedName name="_KR2_1_6_2">#N/A</definedName>
    <definedName name="_KR2_1_7">#N/A</definedName>
    <definedName name="_KR2_1_7_1">#N/A</definedName>
    <definedName name="_KR2_1_7_2">#N/A</definedName>
    <definedName name="_KR2_2">#N/A</definedName>
    <definedName name="_KR2_2_1">#N/A</definedName>
    <definedName name="_KR2_2_1_1">#N/A</definedName>
    <definedName name="_KR2_2_2">#N/A</definedName>
    <definedName name="_KR2_3">#N/A</definedName>
    <definedName name="_KR2_3_1">#N/A</definedName>
    <definedName name="_KR2_3_2">#N/A</definedName>
    <definedName name="_KR2_4">#N/A</definedName>
    <definedName name="_KR2_4_1">#N/A</definedName>
    <definedName name="_KR2_4_2">#N/A</definedName>
    <definedName name="_KR2_5">#N/A</definedName>
    <definedName name="_KR2_5_1">#N/A</definedName>
    <definedName name="_KR2_5_2">#N/A</definedName>
    <definedName name="_KR2_6">#N/A</definedName>
    <definedName name="_KR2_6_1">#N/A</definedName>
    <definedName name="_KR2_6_2">#N/A</definedName>
    <definedName name="_KR2_7">#N/A</definedName>
    <definedName name="_KR2_7_1">#N/A</definedName>
    <definedName name="_KR2_7_2">#N/A</definedName>
    <definedName name="_KR3">#N/A</definedName>
    <definedName name="_KR3_1">#N/A</definedName>
    <definedName name="_KR3_1_1">#N/A</definedName>
    <definedName name="_KR3_1_1_1">#N/A</definedName>
    <definedName name="_KR3_1_1_1_1">#N/A</definedName>
    <definedName name="_KR3_1_1_1_1_1">#N/A</definedName>
    <definedName name="_KR3_1_1_2">#N/A</definedName>
    <definedName name="_KR3_1_2">#N/A</definedName>
    <definedName name="_KR3_1_2_1">#N/A</definedName>
    <definedName name="_KR3_1_2_1_1">#N/A</definedName>
    <definedName name="_KR3_1_2_2">#N/A</definedName>
    <definedName name="_KR3_1_3">#N/A</definedName>
    <definedName name="_KR3_1_3_1">#N/A</definedName>
    <definedName name="_KR3_1_3_2">#N/A</definedName>
    <definedName name="_KR3_1_4">#N/A</definedName>
    <definedName name="_KR3_1_4_1">#N/A</definedName>
    <definedName name="_KR3_1_4_2">#N/A</definedName>
    <definedName name="_KR3_1_5">#N/A</definedName>
    <definedName name="_KR3_1_5_1">#N/A</definedName>
    <definedName name="_KR3_1_5_2">#N/A</definedName>
    <definedName name="_KR3_1_6">#N/A</definedName>
    <definedName name="_KR3_1_6_1">#N/A</definedName>
    <definedName name="_KR3_1_6_2">#N/A</definedName>
    <definedName name="_KR3_1_7">#N/A</definedName>
    <definedName name="_KR3_1_7_1">#N/A</definedName>
    <definedName name="_KR3_1_7_2">#N/A</definedName>
    <definedName name="_KR3_2">#N/A</definedName>
    <definedName name="_KR3_2_1">#N/A</definedName>
    <definedName name="_KR3_2_1_1">#N/A</definedName>
    <definedName name="_KR3_2_2">#N/A</definedName>
    <definedName name="_KR3_3">#N/A</definedName>
    <definedName name="_KR3_3_1">#N/A</definedName>
    <definedName name="_KR3_3_2">#N/A</definedName>
    <definedName name="_KR3_4">#N/A</definedName>
    <definedName name="_KR3_4_1">#N/A</definedName>
    <definedName name="_KR3_4_2">#N/A</definedName>
    <definedName name="_KR3_5">#N/A</definedName>
    <definedName name="_KR3_5_1">#N/A</definedName>
    <definedName name="_KR3_5_2">#N/A</definedName>
    <definedName name="_KR3_6">#N/A</definedName>
    <definedName name="_KR3_6_1">#N/A</definedName>
    <definedName name="_KR3_6_2">#N/A</definedName>
    <definedName name="_KR3_7">#N/A</definedName>
    <definedName name="_KR3_7_1">#N/A</definedName>
    <definedName name="_KR3_7_2">#N/A</definedName>
    <definedName name="_KR4">#N/A</definedName>
    <definedName name="_KR4_1">#N/A</definedName>
    <definedName name="_KR4_1_1">#N/A</definedName>
    <definedName name="_KR4_1_1_1">#N/A</definedName>
    <definedName name="_KR4_1_1_1_1">#N/A</definedName>
    <definedName name="_KR4_1_1_1_1_1">#N/A</definedName>
    <definedName name="_KR4_1_1_2">#N/A</definedName>
    <definedName name="_KR4_1_2">#N/A</definedName>
    <definedName name="_KR4_1_2_1">#N/A</definedName>
    <definedName name="_KR4_1_2_1_1">#N/A</definedName>
    <definedName name="_KR4_1_2_2">#N/A</definedName>
    <definedName name="_KR4_1_3">#N/A</definedName>
    <definedName name="_KR4_1_3_1">#N/A</definedName>
    <definedName name="_KR4_1_3_2">#N/A</definedName>
    <definedName name="_KR4_1_4">#N/A</definedName>
    <definedName name="_KR4_1_4_1">#N/A</definedName>
    <definedName name="_KR4_1_4_2">#N/A</definedName>
    <definedName name="_KR4_1_5">#N/A</definedName>
    <definedName name="_KR4_1_5_1">#N/A</definedName>
    <definedName name="_KR4_1_5_2">#N/A</definedName>
    <definedName name="_KR4_1_6">#N/A</definedName>
    <definedName name="_KR4_1_6_1">#N/A</definedName>
    <definedName name="_KR4_1_6_2">#N/A</definedName>
    <definedName name="_KR4_1_7">#N/A</definedName>
    <definedName name="_KR4_1_7_1">#N/A</definedName>
    <definedName name="_KR4_1_7_2">#N/A</definedName>
    <definedName name="_KR4_2">#N/A</definedName>
    <definedName name="_KR4_2_1">#N/A</definedName>
    <definedName name="_KR4_2_1_1">#N/A</definedName>
    <definedName name="_KR4_2_2">#N/A</definedName>
    <definedName name="_KR4_3">#N/A</definedName>
    <definedName name="_KR4_3_1">#N/A</definedName>
    <definedName name="_KR4_3_2">#N/A</definedName>
    <definedName name="_KR4_4">#N/A</definedName>
    <definedName name="_KR4_4_1">#N/A</definedName>
    <definedName name="_KR4_4_2">#N/A</definedName>
    <definedName name="_KR4_5">#N/A</definedName>
    <definedName name="_KR4_5_1">#N/A</definedName>
    <definedName name="_KR4_5_2">#N/A</definedName>
    <definedName name="_KR4_6">#N/A</definedName>
    <definedName name="_KR4_6_1">#N/A</definedName>
    <definedName name="_KR4_6_2">#N/A</definedName>
    <definedName name="_KR4_7">#N/A</definedName>
    <definedName name="_KR4_7_1">#N/A</definedName>
    <definedName name="_KR4_7_2">#N/A</definedName>
    <definedName name="_KR5">#N/A</definedName>
    <definedName name="_KR5_1">#N/A</definedName>
    <definedName name="_KR5_1_1">#N/A</definedName>
    <definedName name="_KR5_1_1_1">#N/A</definedName>
    <definedName name="_KR5_1_1_1_1">#N/A</definedName>
    <definedName name="_KR5_1_1_1_1_1">#N/A</definedName>
    <definedName name="_KR5_1_1_2">#N/A</definedName>
    <definedName name="_KR5_1_2">#N/A</definedName>
    <definedName name="_KR5_1_2_1">#N/A</definedName>
    <definedName name="_KR5_1_2_1_1">#N/A</definedName>
    <definedName name="_KR5_1_2_2">#N/A</definedName>
    <definedName name="_KR5_1_3">#N/A</definedName>
    <definedName name="_KR5_1_3_1">#N/A</definedName>
    <definedName name="_KR5_1_3_2">#N/A</definedName>
    <definedName name="_KR5_1_4">#N/A</definedName>
    <definedName name="_KR5_1_4_1">#N/A</definedName>
    <definedName name="_KR5_1_4_2">#N/A</definedName>
    <definedName name="_KR5_1_5">#N/A</definedName>
    <definedName name="_KR5_1_5_1">#N/A</definedName>
    <definedName name="_KR5_1_5_2">#N/A</definedName>
    <definedName name="_KR5_1_6">#N/A</definedName>
    <definedName name="_KR5_1_6_1">#N/A</definedName>
    <definedName name="_KR5_1_6_2">#N/A</definedName>
    <definedName name="_KR5_1_7">#N/A</definedName>
    <definedName name="_KR5_1_7_1">#N/A</definedName>
    <definedName name="_KR5_1_7_2">#N/A</definedName>
    <definedName name="_KR5_2">#N/A</definedName>
    <definedName name="_KR5_2_1">#N/A</definedName>
    <definedName name="_KR5_2_1_1">#N/A</definedName>
    <definedName name="_KR5_2_2">#N/A</definedName>
    <definedName name="_KR5_3">#N/A</definedName>
    <definedName name="_KR5_3_1">#N/A</definedName>
    <definedName name="_KR5_3_2">#N/A</definedName>
    <definedName name="_KR5_4">#N/A</definedName>
    <definedName name="_KR5_4_1">#N/A</definedName>
    <definedName name="_KR5_4_2">#N/A</definedName>
    <definedName name="_KR5_5">#N/A</definedName>
    <definedName name="_KR5_5_1">#N/A</definedName>
    <definedName name="_KR5_5_2">#N/A</definedName>
    <definedName name="_KR5_6">#N/A</definedName>
    <definedName name="_KR5_6_1">#N/A</definedName>
    <definedName name="_KR5_6_2">#N/A</definedName>
    <definedName name="_KR5_7">#N/A</definedName>
    <definedName name="_KR5_7_1">#N/A</definedName>
    <definedName name="_KR5_7_2">#N/A</definedName>
    <definedName name="_LF1">#N/A</definedName>
    <definedName name="_LF1_1">#N/A</definedName>
    <definedName name="_LF1_1_1">#N/A</definedName>
    <definedName name="_LF1_1_1_1">#N/A</definedName>
    <definedName name="_LF1_1_1_1_1">#N/A</definedName>
    <definedName name="_LF1_1_1_1_1_1">#N/A</definedName>
    <definedName name="_LF1_1_1_2">#N/A</definedName>
    <definedName name="_LF1_1_2">#N/A</definedName>
    <definedName name="_LF1_1_2_1">#N/A</definedName>
    <definedName name="_LF1_1_2_1_1">#N/A</definedName>
    <definedName name="_LF1_1_2_2">#N/A</definedName>
    <definedName name="_LF1_1_3">#N/A</definedName>
    <definedName name="_LF1_1_3_1">#N/A</definedName>
    <definedName name="_LF1_1_3_2">#N/A</definedName>
    <definedName name="_LF1_1_4">#N/A</definedName>
    <definedName name="_LF1_1_4_1">#N/A</definedName>
    <definedName name="_LF1_1_4_2">#N/A</definedName>
    <definedName name="_LF1_1_5">#N/A</definedName>
    <definedName name="_LF1_1_5_1">#N/A</definedName>
    <definedName name="_LF1_1_5_2">#N/A</definedName>
    <definedName name="_LF1_1_6">#N/A</definedName>
    <definedName name="_LF1_1_6_1">#N/A</definedName>
    <definedName name="_LF1_1_6_2">#N/A</definedName>
    <definedName name="_LF1_1_7">#N/A</definedName>
    <definedName name="_LF1_1_7_1">#N/A</definedName>
    <definedName name="_LF1_1_7_2">#N/A</definedName>
    <definedName name="_LF1_2">#N/A</definedName>
    <definedName name="_LF1_2_1">#N/A</definedName>
    <definedName name="_LF1_2_1_1">#N/A</definedName>
    <definedName name="_LF1_2_2">#N/A</definedName>
    <definedName name="_LF1_3">#N/A</definedName>
    <definedName name="_LF1_3_1">#N/A</definedName>
    <definedName name="_LF1_3_2">#N/A</definedName>
    <definedName name="_LF1_4">#N/A</definedName>
    <definedName name="_LF1_4_1">#N/A</definedName>
    <definedName name="_LF1_4_2">#N/A</definedName>
    <definedName name="_LF1_5">#N/A</definedName>
    <definedName name="_LF1_5_1">#N/A</definedName>
    <definedName name="_LF1_5_2">#N/A</definedName>
    <definedName name="_LF1_6">#N/A</definedName>
    <definedName name="_LF1_6_1">#N/A</definedName>
    <definedName name="_LF1_6_2">#N/A</definedName>
    <definedName name="_LF1_7">#N/A</definedName>
    <definedName name="_LF1_7_1">#N/A</definedName>
    <definedName name="_LF1_7_2">#N/A</definedName>
    <definedName name="_MG1">#N/A</definedName>
    <definedName name="_MG1_1">#N/A</definedName>
    <definedName name="_MG1_1_1">#N/A</definedName>
    <definedName name="_MG1_1_1_1">#N/A</definedName>
    <definedName name="_MG1_1_1_1_1">#N/A</definedName>
    <definedName name="_MG1_1_1_1_1_1">#N/A</definedName>
    <definedName name="_MG1_1_1_2">#N/A</definedName>
    <definedName name="_MG1_1_2">#N/A</definedName>
    <definedName name="_MG1_1_2_1">#N/A</definedName>
    <definedName name="_MG1_1_2_1_1">#N/A</definedName>
    <definedName name="_MG1_1_2_2">#N/A</definedName>
    <definedName name="_MG1_1_3">#N/A</definedName>
    <definedName name="_MG1_1_3_1">#N/A</definedName>
    <definedName name="_MG1_1_3_2">#N/A</definedName>
    <definedName name="_MG1_1_4">#N/A</definedName>
    <definedName name="_MG1_1_4_1">#N/A</definedName>
    <definedName name="_MG1_1_4_2">#N/A</definedName>
    <definedName name="_MG1_1_5">#N/A</definedName>
    <definedName name="_MG1_1_5_1">#N/A</definedName>
    <definedName name="_MG1_1_5_2">#N/A</definedName>
    <definedName name="_MG1_1_6">#N/A</definedName>
    <definedName name="_MG1_1_6_1">#N/A</definedName>
    <definedName name="_MG1_1_6_2">#N/A</definedName>
    <definedName name="_MG1_1_7">#N/A</definedName>
    <definedName name="_MG1_1_7_1">#N/A</definedName>
    <definedName name="_MG1_1_7_2">#N/A</definedName>
    <definedName name="_MG1_2">#N/A</definedName>
    <definedName name="_MG1_2_1">#N/A</definedName>
    <definedName name="_MG1_2_1_1">#N/A</definedName>
    <definedName name="_MG1_2_2">#N/A</definedName>
    <definedName name="_MG1_3">#N/A</definedName>
    <definedName name="_MG1_3_1">#N/A</definedName>
    <definedName name="_MG1_3_2">#N/A</definedName>
    <definedName name="_MG1_4">#N/A</definedName>
    <definedName name="_MG1_4_1">#N/A</definedName>
    <definedName name="_MG1_4_2">#N/A</definedName>
    <definedName name="_MG1_5">#N/A</definedName>
    <definedName name="_MG1_5_1">#N/A</definedName>
    <definedName name="_MG1_5_2">#N/A</definedName>
    <definedName name="_MG1_6">#N/A</definedName>
    <definedName name="_MG1_6_1">#N/A</definedName>
    <definedName name="_MG1_6_2">#N/A</definedName>
    <definedName name="_MG1_7">#N/A</definedName>
    <definedName name="_MG1_7_1">#N/A</definedName>
    <definedName name="_MG1_7_2">#N/A</definedName>
    <definedName name="_MG2">#N/A</definedName>
    <definedName name="_MG2_1">#N/A</definedName>
    <definedName name="_MG2_1_1">#N/A</definedName>
    <definedName name="_MG2_1_1_1">#N/A</definedName>
    <definedName name="_MG2_1_1_1_1">#N/A</definedName>
    <definedName name="_MG2_1_1_1_1_1">#N/A</definedName>
    <definedName name="_MG2_1_1_2">#N/A</definedName>
    <definedName name="_MG2_1_2">#N/A</definedName>
    <definedName name="_MG2_1_2_1">#N/A</definedName>
    <definedName name="_MG2_1_2_1_1">#N/A</definedName>
    <definedName name="_MG2_1_2_2">#N/A</definedName>
    <definedName name="_MG2_1_3">#N/A</definedName>
    <definedName name="_MG2_1_3_1">#N/A</definedName>
    <definedName name="_MG2_1_3_2">#N/A</definedName>
    <definedName name="_MG2_1_4">#N/A</definedName>
    <definedName name="_MG2_1_4_1">#N/A</definedName>
    <definedName name="_MG2_1_4_2">#N/A</definedName>
    <definedName name="_MG2_1_5">#N/A</definedName>
    <definedName name="_MG2_1_5_1">#N/A</definedName>
    <definedName name="_MG2_1_5_2">#N/A</definedName>
    <definedName name="_MG2_1_6">#N/A</definedName>
    <definedName name="_MG2_1_6_1">#N/A</definedName>
    <definedName name="_MG2_1_6_2">#N/A</definedName>
    <definedName name="_MG2_1_7">#N/A</definedName>
    <definedName name="_MG2_1_7_1">#N/A</definedName>
    <definedName name="_MG2_1_7_2">#N/A</definedName>
    <definedName name="_MG2_2">#N/A</definedName>
    <definedName name="_MG2_2_1">#N/A</definedName>
    <definedName name="_MG2_2_1_1">#N/A</definedName>
    <definedName name="_MG2_2_2">#N/A</definedName>
    <definedName name="_MG2_3">#N/A</definedName>
    <definedName name="_MG2_3_1">#N/A</definedName>
    <definedName name="_MG2_3_2">#N/A</definedName>
    <definedName name="_MG2_4">#N/A</definedName>
    <definedName name="_MG2_4_1">#N/A</definedName>
    <definedName name="_MG2_4_2">#N/A</definedName>
    <definedName name="_MG2_5">#N/A</definedName>
    <definedName name="_MG2_5_1">#N/A</definedName>
    <definedName name="_MG2_5_2">#N/A</definedName>
    <definedName name="_MG2_6">#N/A</definedName>
    <definedName name="_MG2_6_1">#N/A</definedName>
    <definedName name="_MG2_6_2">#N/A</definedName>
    <definedName name="_MG2_7">#N/A</definedName>
    <definedName name="_MG2_7_1">#N/A</definedName>
    <definedName name="_MG2_7_2">#N/A</definedName>
    <definedName name="_MG3">#N/A</definedName>
    <definedName name="_MG3_1">#N/A</definedName>
    <definedName name="_MG3_1_1">#N/A</definedName>
    <definedName name="_MG3_1_1_1">#N/A</definedName>
    <definedName name="_MG3_1_1_1_1">#N/A</definedName>
    <definedName name="_MG3_1_1_1_1_1">#N/A</definedName>
    <definedName name="_MG3_1_1_2">#N/A</definedName>
    <definedName name="_MG3_1_2">#N/A</definedName>
    <definedName name="_MG3_1_2_1">#N/A</definedName>
    <definedName name="_MG3_1_2_1_1">#N/A</definedName>
    <definedName name="_MG3_1_2_2">#N/A</definedName>
    <definedName name="_MG3_1_3">#N/A</definedName>
    <definedName name="_MG3_1_3_1">#N/A</definedName>
    <definedName name="_MG3_1_3_2">#N/A</definedName>
    <definedName name="_MG3_1_4">#N/A</definedName>
    <definedName name="_MG3_1_4_1">#N/A</definedName>
    <definedName name="_MG3_1_4_2">#N/A</definedName>
    <definedName name="_MG3_1_5">#N/A</definedName>
    <definedName name="_MG3_1_5_1">#N/A</definedName>
    <definedName name="_MG3_1_5_2">#N/A</definedName>
    <definedName name="_MG3_1_6">#N/A</definedName>
    <definedName name="_MG3_1_6_1">#N/A</definedName>
    <definedName name="_MG3_1_6_2">#N/A</definedName>
    <definedName name="_MG3_1_7">#N/A</definedName>
    <definedName name="_MG3_1_7_1">#N/A</definedName>
    <definedName name="_MG3_1_7_2">#N/A</definedName>
    <definedName name="_MG3_2">#N/A</definedName>
    <definedName name="_MG3_2_1">#N/A</definedName>
    <definedName name="_MG3_2_1_1">#N/A</definedName>
    <definedName name="_MG3_2_2">#N/A</definedName>
    <definedName name="_MG3_3">#N/A</definedName>
    <definedName name="_MG3_3_1">#N/A</definedName>
    <definedName name="_MG3_3_2">#N/A</definedName>
    <definedName name="_MG3_4">#N/A</definedName>
    <definedName name="_MG3_4_1">#N/A</definedName>
    <definedName name="_MG3_4_2">#N/A</definedName>
    <definedName name="_MG3_5">#N/A</definedName>
    <definedName name="_MG3_5_1">#N/A</definedName>
    <definedName name="_MG3_5_2">#N/A</definedName>
    <definedName name="_MG3_6">#N/A</definedName>
    <definedName name="_MG3_6_1">#N/A</definedName>
    <definedName name="_MG3_6_2">#N/A</definedName>
    <definedName name="_MG3_7">#N/A</definedName>
    <definedName name="_MG3_7_1">#N/A</definedName>
    <definedName name="_MG3_7_2">#N/A</definedName>
    <definedName name="_MG4">#N/A</definedName>
    <definedName name="_MG4_1">#N/A</definedName>
    <definedName name="_MG4_1_1">#N/A</definedName>
    <definedName name="_MG4_1_1_1">#N/A</definedName>
    <definedName name="_MG4_1_1_1_1">#N/A</definedName>
    <definedName name="_MG4_1_1_1_1_1">#N/A</definedName>
    <definedName name="_MG4_1_1_2">#N/A</definedName>
    <definedName name="_MG4_1_2">#N/A</definedName>
    <definedName name="_MG4_1_2_1">#N/A</definedName>
    <definedName name="_MG4_1_2_1_1">#N/A</definedName>
    <definedName name="_MG4_1_2_2">#N/A</definedName>
    <definedName name="_MG4_1_3">#N/A</definedName>
    <definedName name="_MG4_1_3_1">#N/A</definedName>
    <definedName name="_MG4_1_3_2">#N/A</definedName>
    <definedName name="_MG4_1_4">#N/A</definedName>
    <definedName name="_MG4_1_4_1">#N/A</definedName>
    <definedName name="_MG4_1_4_2">#N/A</definedName>
    <definedName name="_MG4_1_5">#N/A</definedName>
    <definedName name="_MG4_1_5_1">#N/A</definedName>
    <definedName name="_MG4_1_5_2">#N/A</definedName>
    <definedName name="_MG4_1_6">#N/A</definedName>
    <definedName name="_MG4_1_6_1">#N/A</definedName>
    <definedName name="_MG4_1_6_2">#N/A</definedName>
    <definedName name="_MG4_1_7">#N/A</definedName>
    <definedName name="_MG4_1_7_1">#N/A</definedName>
    <definedName name="_MG4_1_7_2">#N/A</definedName>
    <definedName name="_MG4_2">#N/A</definedName>
    <definedName name="_MG4_2_1">#N/A</definedName>
    <definedName name="_MG4_2_1_1">#N/A</definedName>
    <definedName name="_MG4_2_2">#N/A</definedName>
    <definedName name="_MG4_3">#N/A</definedName>
    <definedName name="_MG4_3_1">#N/A</definedName>
    <definedName name="_MG4_3_2">#N/A</definedName>
    <definedName name="_MG4_4">#N/A</definedName>
    <definedName name="_MG4_4_1">#N/A</definedName>
    <definedName name="_MG4_4_2">#N/A</definedName>
    <definedName name="_MG4_5">#N/A</definedName>
    <definedName name="_MG4_5_1">#N/A</definedName>
    <definedName name="_MG4_5_2">#N/A</definedName>
    <definedName name="_MG4_6">#N/A</definedName>
    <definedName name="_MG4_6_1">#N/A</definedName>
    <definedName name="_MG4_6_2">#N/A</definedName>
    <definedName name="_MG4_7">#N/A</definedName>
    <definedName name="_MG4_7_1">#N/A</definedName>
    <definedName name="_MG4_7_2">#N/A</definedName>
    <definedName name="_MLZ1">#N/A</definedName>
    <definedName name="_MLZ1_1">#N/A</definedName>
    <definedName name="_MLZ1_1_1">#N/A</definedName>
    <definedName name="_MLZ1_1_1_1">#N/A</definedName>
    <definedName name="_MLZ1_1_1_1_1">#N/A</definedName>
    <definedName name="_MLZ1_1_1_1_1_1">#N/A</definedName>
    <definedName name="_MLZ1_1_1_2">#N/A</definedName>
    <definedName name="_MLZ1_1_2">#N/A</definedName>
    <definedName name="_MLZ1_1_2_1">#N/A</definedName>
    <definedName name="_MLZ1_1_2_1_1">#N/A</definedName>
    <definedName name="_MLZ1_1_2_2">#N/A</definedName>
    <definedName name="_MLZ1_1_3">#N/A</definedName>
    <definedName name="_MLZ1_1_3_1">#N/A</definedName>
    <definedName name="_MLZ1_1_3_2">#N/A</definedName>
    <definedName name="_MLZ1_1_4">#N/A</definedName>
    <definedName name="_MLZ1_1_4_1">#N/A</definedName>
    <definedName name="_MLZ1_1_4_2">#N/A</definedName>
    <definedName name="_MLZ1_1_5">#N/A</definedName>
    <definedName name="_MLZ1_1_5_1">#N/A</definedName>
    <definedName name="_MLZ1_1_5_2">#N/A</definedName>
    <definedName name="_MLZ1_1_6">#N/A</definedName>
    <definedName name="_MLZ1_1_6_1">#N/A</definedName>
    <definedName name="_MLZ1_1_6_2">#N/A</definedName>
    <definedName name="_MLZ1_1_7">#N/A</definedName>
    <definedName name="_MLZ1_1_7_1">#N/A</definedName>
    <definedName name="_MLZ1_1_7_2">#N/A</definedName>
    <definedName name="_MLZ1_2">#N/A</definedName>
    <definedName name="_MLZ1_2_1">#N/A</definedName>
    <definedName name="_MLZ1_2_1_1">#N/A</definedName>
    <definedName name="_MLZ1_2_2">#N/A</definedName>
    <definedName name="_MLZ1_3">#N/A</definedName>
    <definedName name="_MLZ1_3_1">#N/A</definedName>
    <definedName name="_MLZ1_3_2">#N/A</definedName>
    <definedName name="_MLZ1_4">#N/A</definedName>
    <definedName name="_MLZ1_4_1">#N/A</definedName>
    <definedName name="_MLZ1_4_2">#N/A</definedName>
    <definedName name="_MLZ1_5">#N/A</definedName>
    <definedName name="_MLZ1_5_1">#N/A</definedName>
    <definedName name="_MLZ1_5_2">#N/A</definedName>
    <definedName name="_MLZ1_6">#N/A</definedName>
    <definedName name="_MLZ1_6_1">#N/A</definedName>
    <definedName name="_MLZ1_6_2">#N/A</definedName>
    <definedName name="_MLZ1_7">#N/A</definedName>
    <definedName name="_MLZ1_7_1">#N/A</definedName>
    <definedName name="_MLZ1_7_2">#N/A</definedName>
    <definedName name="_mlz2">#N/A</definedName>
    <definedName name="_mlz2_1">#N/A</definedName>
    <definedName name="_mlz2_1_1">#N/A</definedName>
    <definedName name="_mlz2_1_1_1">#N/A</definedName>
    <definedName name="_mlz2_1_1_1_1">#N/A</definedName>
    <definedName name="_mlz2_1_1_1_1_1">#N/A</definedName>
    <definedName name="_mlz2_1_1_2">#N/A</definedName>
    <definedName name="_mlz2_1_2">#N/A</definedName>
    <definedName name="_mlz2_1_2_1">#N/A</definedName>
    <definedName name="_mlz2_1_2_1_1">#N/A</definedName>
    <definedName name="_mlz2_1_2_2">#N/A</definedName>
    <definedName name="_mlz2_1_3">#N/A</definedName>
    <definedName name="_mlz2_1_3_1">#N/A</definedName>
    <definedName name="_mlz2_1_3_2">#N/A</definedName>
    <definedName name="_mlz2_1_4">#N/A</definedName>
    <definedName name="_mlz2_1_4_1">#N/A</definedName>
    <definedName name="_mlz2_1_4_2">#N/A</definedName>
    <definedName name="_mlz2_1_5">#N/A</definedName>
    <definedName name="_mlz2_1_5_1">#N/A</definedName>
    <definedName name="_mlz2_1_5_2">#N/A</definedName>
    <definedName name="_mlz2_1_6">#N/A</definedName>
    <definedName name="_mlz2_1_6_1">#N/A</definedName>
    <definedName name="_mlz2_1_6_2">#N/A</definedName>
    <definedName name="_mlz2_1_7">#N/A</definedName>
    <definedName name="_mlz2_1_7_1">#N/A</definedName>
    <definedName name="_mlz2_1_7_2">#N/A</definedName>
    <definedName name="_mlz2_2">#N/A</definedName>
    <definedName name="_mlz2_2_1">#N/A</definedName>
    <definedName name="_mlz2_2_1_1">#N/A</definedName>
    <definedName name="_mlz2_2_2">#N/A</definedName>
    <definedName name="_mlz2_3">#N/A</definedName>
    <definedName name="_mlz2_3_1">#N/A</definedName>
    <definedName name="_mlz2_3_2">#N/A</definedName>
    <definedName name="_mlz2_4">#N/A</definedName>
    <definedName name="_mlz2_4_1">#N/A</definedName>
    <definedName name="_mlz2_4_2">#N/A</definedName>
    <definedName name="_mlz2_5">#N/A</definedName>
    <definedName name="_mlz2_5_1">#N/A</definedName>
    <definedName name="_mlz2_5_2">#N/A</definedName>
    <definedName name="_mlz2_6">#N/A</definedName>
    <definedName name="_mlz2_6_1">#N/A</definedName>
    <definedName name="_mlz2_6_2">#N/A</definedName>
    <definedName name="_mlz2_7">#N/A</definedName>
    <definedName name="_mlz2_7_1">#N/A</definedName>
    <definedName name="_mlz2_7_2">#N/A</definedName>
    <definedName name="_Order1">0</definedName>
    <definedName name="_PAN1">#N/A</definedName>
    <definedName name="_PAN1_1">#N/A</definedName>
    <definedName name="_PAN1_1_1">#N/A</definedName>
    <definedName name="_PAN1_1_1_1">#N/A</definedName>
    <definedName name="_PAN1_1_1_1_1">#N/A</definedName>
    <definedName name="_PAN1_1_1_1_1_1">#N/A</definedName>
    <definedName name="_PAN1_1_1_2">#N/A</definedName>
    <definedName name="_PAN1_1_2">#N/A</definedName>
    <definedName name="_PAN1_1_2_1">#N/A</definedName>
    <definedName name="_PAN1_1_2_1_1">#N/A</definedName>
    <definedName name="_PAN1_1_2_2">#N/A</definedName>
    <definedName name="_PAN1_1_3">#N/A</definedName>
    <definedName name="_PAN1_1_3_1">#N/A</definedName>
    <definedName name="_PAN1_1_3_2">#N/A</definedName>
    <definedName name="_PAN1_1_4">#N/A</definedName>
    <definedName name="_PAN1_1_4_1">#N/A</definedName>
    <definedName name="_PAN1_1_4_2">#N/A</definedName>
    <definedName name="_PAN1_1_5">#N/A</definedName>
    <definedName name="_PAN1_1_5_1">#N/A</definedName>
    <definedName name="_PAN1_1_5_2">#N/A</definedName>
    <definedName name="_PAN1_1_6">#N/A</definedName>
    <definedName name="_PAN1_1_6_1">#N/A</definedName>
    <definedName name="_PAN1_1_6_2">#N/A</definedName>
    <definedName name="_PAN1_1_7">#N/A</definedName>
    <definedName name="_PAN1_1_7_1">#N/A</definedName>
    <definedName name="_PAN1_1_7_2">#N/A</definedName>
    <definedName name="_PAN1_2">#N/A</definedName>
    <definedName name="_PAN1_2_1">#N/A</definedName>
    <definedName name="_PAN1_2_1_1">#N/A</definedName>
    <definedName name="_PAN1_2_2">#N/A</definedName>
    <definedName name="_PAN1_3">#N/A</definedName>
    <definedName name="_PAN1_3_1">#N/A</definedName>
    <definedName name="_PAN1_3_2">#N/A</definedName>
    <definedName name="_PAN1_4">#N/A</definedName>
    <definedName name="_PAN1_4_1">#N/A</definedName>
    <definedName name="_PAN1_4_2">#N/A</definedName>
    <definedName name="_PAN1_5">#N/A</definedName>
    <definedName name="_PAN1_5_1">#N/A</definedName>
    <definedName name="_PAN1_5_2">#N/A</definedName>
    <definedName name="_PAN1_6">#N/A</definedName>
    <definedName name="_PAN1_6_1">#N/A</definedName>
    <definedName name="_PAN1_6_2">#N/A</definedName>
    <definedName name="_PAN1_7">#N/A</definedName>
    <definedName name="_PAN1_7_1">#N/A</definedName>
    <definedName name="_PAN1_7_2">#N/A</definedName>
    <definedName name="_PAN2">#N/A</definedName>
    <definedName name="_PAN2_1">#N/A</definedName>
    <definedName name="_PAN2_1_1">#N/A</definedName>
    <definedName name="_PAN2_1_1_1">#N/A</definedName>
    <definedName name="_PAN2_1_1_1_1">#N/A</definedName>
    <definedName name="_PAN2_1_1_1_1_1">#N/A</definedName>
    <definedName name="_PAN2_1_1_2">#N/A</definedName>
    <definedName name="_PAN2_1_2">#N/A</definedName>
    <definedName name="_PAN2_1_2_1">#N/A</definedName>
    <definedName name="_PAN2_1_2_1_1">#N/A</definedName>
    <definedName name="_PAN2_1_2_2">#N/A</definedName>
    <definedName name="_PAN2_1_3">#N/A</definedName>
    <definedName name="_PAN2_1_3_1">#N/A</definedName>
    <definedName name="_PAN2_1_3_2">#N/A</definedName>
    <definedName name="_PAN2_1_4">#N/A</definedName>
    <definedName name="_PAN2_1_4_1">#N/A</definedName>
    <definedName name="_PAN2_1_4_2">#N/A</definedName>
    <definedName name="_PAN2_1_5">#N/A</definedName>
    <definedName name="_PAN2_1_5_1">#N/A</definedName>
    <definedName name="_PAN2_1_5_2">#N/A</definedName>
    <definedName name="_PAN2_1_6">#N/A</definedName>
    <definedName name="_PAN2_1_6_1">#N/A</definedName>
    <definedName name="_PAN2_1_6_2">#N/A</definedName>
    <definedName name="_PAN2_1_7">#N/A</definedName>
    <definedName name="_PAN2_1_7_1">#N/A</definedName>
    <definedName name="_PAN2_1_7_2">#N/A</definedName>
    <definedName name="_PAN2_2">#N/A</definedName>
    <definedName name="_PAN2_2_1">#N/A</definedName>
    <definedName name="_PAN2_2_1_1">#N/A</definedName>
    <definedName name="_PAN2_2_2">#N/A</definedName>
    <definedName name="_PAN2_3">#N/A</definedName>
    <definedName name="_PAN2_3_1">#N/A</definedName>
    <definedName name="_PAN2_3_2">#N/A</definedName>
    <definedName name="_PAN2_4">#N/A</definedName>
    <definedName name="_PAN2_4_1">#N/A</definedName>
    <definedName name="_PAN2_4_2">#N/A</definedName>
    <definedName name="_PAN2_5">#N/A</definedName>
    <definedName name="_PAN2_5_1">#N/A</definedName>
    <definedName name="_PAN2_5_2">#N/A</definedName>
    <definedName name="_PAN2_6">#N/A</definedName>
    <definedName name="_PAN2_6_1">#N/A</definedName>
    <definedName name="_PAN2_6_2">#N/A</definedName>
    <definedName name="_PAN2_7">#N/A</definedName>
    <definedName name="_PAN2_7_1">#N/A</definedName>
    <definedName name="_PAN2_7_2">#N/A</definedName>
    <definedName name="_RSK1">#N/A</definedName>
    <definedName name="_RSK1_1">#N/A</definedName>
    <definedName name="_RSK1_1_1">#N/A</definedName>
    <definedName name="_RSK1_1_1_1">#N/A</definedName>
    <definedName name="_RSK1_1_1_1_1">#N/A</definedName>
    <definedName name="_RSK1_1_1_1_1_1">#N/A</definedName>
    <definedName name="_RSK1_1_1_2">#N/A</definedName>
    <definedName name="_RSK1_1_2">#N/A</definedName>
    <definedName name="_RSK1_1_2_1">#N/A</definedName>
    <definedName name="_RSK1_1_2_1_1">#N/A</definedName>
    <definedName name="_RSK1_1_2_2">#N/A</definedName>
    <definedName name="_RSK1_1_3">#N/A</definedName>
    <definedName name="_RSK1_1_3_1">#N/A</definedName>
    <definedName name="_RSK1_1_3_2">#N/A</definedName>
    <definedName name="_RSK1_1_4">#N/A</definedName>
    <definedName name="_RSK1_1_4_1">#N/A</definedName>
    <definedName name="_RSK1_1_4_2">#N/A</definedName>
    <definedName name="_RSK1_1_5">#N/A</definedName>
    <definedName name="_RSK1_1_5_1">#N/A</definedName>
    <definedName name="_RSK1_1_5_2">#N/A</definedName>
    <definedName name="_RSK1_1_6">#N/A</definedName>
    <definedName name="_RSK1_1_6_1">#N/A</definedName>
    <definedName name="_RSK1_1_6_2">#N/A</definedName>
    <definedName name="_RSK1_1_7">#N/A</definedName>
    <definedName name="_RSK1_1_7_1">#N/A</definedName>
    <definedName name="_RSK1_1_7_2">#N/A</definedName>
    <definedName name="_RSK1_2">#N/A</definedName>
    <definedName name="_RSK1_2_1">#N/A</definedName>
    <definedName name="_RSK1_2_1_1">#N/A</definedName>
    <definedName name="_RSK1_2_2">#N/A</definedName>
    <definedName name="_RSK1_3">#N/A</definedName>
    <definedName name="_RSK1_3_1">#N/A</definedName>
    <definedName name="_RSK1_3_2">#N/A</definedName>
    <definedName name="_RSK1_4">#N/A</definedName>
    <definedName name="_RSK1_4_1">#N/A</definedName>
    <definedName name="_RSK1_4_2">#N/A</definedName>
    <definedName name="_RSK1_5">#N/A</definedName>
    <definedName name="_RSK1_5_1">#N/A</definedName>
    <definedName name="_RSK1_5_2">#N/A</definedName>
    <definedName name="_RSK1_6">#N/A</definedName>
    <definedName name="_RSK1_6_1">#N/A</definedName>
    <definedName name="_RSK1_6_2">#N/A</definedName>
    <definedName name="_RSK1_7">#N/A</definedName>
    <definedName name="_RSK1_7_1">#N/A</definedName>
    <definedName name="_RSK1_7_2">#N/A</definedName>
    <definedName name="_RSK2">#N/A</definedName>
    <definedName name="_RSK2_1">#N/A</definedName>
    <definedName name="_RSK2_1_1">#N/A</definedName>
    <definedName name="_RSK2_1_1_1">#N/A</definedName>
    <definedName name="_RSK2_1_1_1_1">#N/A</definedName>
    <definedName name="_RSK2_1_1_1_1_1">#N/A</definedName>
    <definedName name="_RSK2_1_1_2">#N/A</definedName>
    <definedName name="_RSK2_1_2">#N/A</definedName>
    <definedName name="_RSK2_1_2_1">#N/A</definedName>
    <definedName name="_RSK2_1_2_1_1">#N/A</definedName>
    <definedName name="_RSK2_1_2_2">#N/A</definedName>
    <definedName name="_RSK2_1_3">#N/A</definedName>
    <definedName name="_RSK2_1_3_1">#N/A</definedName>
    <definedName name="_RSK2_1_3_2">#N/A</definedName>
    <definedName name="_RSK2_1_4">#N/A</definedName>
    <definedName name="_RSK2_1_4_1">#N/A</definedName>
    <definedName name="_RSK2_1_4_2">#N/A</definedName>
    <definedName name="_RSK2_1_5">#N/A</definedName>
    <definedName name="_RSK2_1_5_1">#N/A</definedName>
    <definedName name="_RSK2_1_5_2">#N/A</definedName>
    <definedName name="_RSK2_1_6">#N/A</definedName>
    <definedName name="_RSK2_1_6_1">#N/A</definedName>
    <definedName name="_RSK2_1_6_2">#N/A</definedName>
    <definedName name="_RSK2_1_7">#N/A</definedName>
    <definedName name="_RSK2_1_7_1">#N/A</definedName>
    <definedName name="_RSK2_1_7_2">#N/A</definedName>
    <definedName name="_RSK2_2">#N/A</definedName>
    <definedName name="_RSK2_2_1">#N/A</definedName>
    <definedName name="_RSK2_2_1_1">#N/A</definedName>
    <definedName name="_RSK2_2_2">#N/A</definedName>
    <definedName name="_RSK2_3">#N/A</definedName>
    <definedName name="_RSK2_3_1">#N/A</definedName>
    <definedName name="_RSK2_3_2">#N/A</definedName>
    <definedName name="_RSK2_4">#N/A</definedName>
    <definedName name="_RSK2_4_1">#N/A</definedName>
    <definedName name="_RSK2_4_2">#N/A</definedName>
    <definedName name="_RSK2_5">#N/A</definedName>
    <definedName name="_RSK2_5_1">#N/A</definedName>
    <definedName name="_RSK2_5_2">#N/A</definedName>
    <definedName name="_RSK2_6">#N/A</definedName>
    <definedName name="_RSK2_6_1">#N/A</definedName>
    <definedName name="_RSK2_6_2">#N/A</definedName>
    <definedName name="_RSK2_7">#N/A</definedName>
    <definedName name="_RSK2_7_1">#N/A</definedName>
    <definedName name="_RSK2_7_2">#N/A</definedName>
    <definedName name="_RSK3">#N/A</definedName>
    <definedName name="_RSK3_1">#N/A</definedName>
    <definedName name="_RSK3_1_1">#N/A</definedName>
    <definedName name="_RSK3_1_1_1">#N/A</definedName>
    <definedName name="_RSK3_1_1_1_1">#N/A</definedName>
    <definedName name="_RSK3_1_1_1_1_1">#N/A</definedName>
    <definedName name="_RSK3_1_1_2">#N/A</definedName>
    <definedName name="_RSK3_1_2">#N/A</definedName>
    <definedName name="_RSK3_1_2_1">#N/A</definedName>
    <definedName name="_RSK3_1_2_1_1">#N/A</definedName>
    <definedName name="_RSK3_1_2_2">#N/A</definedName>
    <definedName name="_RSK3_1_3">#N/A</definedName>
    <definedName name="_RSK3_1_3_1">#N/A</definedName>
    <definedName name="_RSK3_1_3_2">#N/A</definedName>
    <definedName name="_RSK3_1_4">#N/A</definedName>
    <definedName name="_RSK3_1_4_1">#N/A</definedName>
    <definedName name="_RSK3_1_4_2">#N/A</definedName>
    <definedName name="_RSK3_1_5">#N/A</definedName>
    <definedName name="_RSK3_1_5_1">#N/A</definedName>
    <definedName name="_RSK3_1_5_2">#N/A</definedName>
    <definedName name="_RSK3_1_6">#N/A</definedName>
    <definedName name="_RSK3_1_6_1">#N/A</definedName>
    <definedName name="_RSK3_1_6_2">#N/A</definedName>
    <definedName name="_RSK3_1_7">#N/A</definedName>
    <definedName name="_RSK3_1_7_1">#N/A</definedName>
    <definedName name="_RSK3_1_7_2">#N/A</definedName>
    <definedName name="_RSK3_2">#N/A</definedName>
    <definedName name="_RSK3_2_1">#N/A</definedName>
    <definedName name="_RSK3_2_1_1">#N/A</definedName>
    <definedName name="_RSK3_2_2">#N/A</definedName>
    <definedName name="_RSK3_3">#N/A</definedName>
    <definedName name="_RSK3_3_1">#N/A</definedName>
    <definedName name="_RSK3_3_2">#N/A</definedName>
    <definedName name="_RSK3_4">#N/A</definedName>
    <definedName name="_RSK3_4_1">#N/A</definedName>
    <definedName name="_RSK3_4_2">#N/A</definedName>
    <definedName name="_RSK3_5">#N/A</definedName>
    <definedName name="_RSK3_5_1">#N/A</definedName>
    <definedName name="_RSK3_5_2">#N/A</definedName>
    <definedName name="_RSK3_6">#N/A</definedName>
    <definedName name="_RSK3_6_1">#N/A</definedName>
    <definedName name="_RSK3_6_2">#N/A</definedName>
    <definedName name="_RSK3_7">#N/A</definedName>
    <definedName name="_RSK3_7_1">#N/A</definedName>
    <definedName name="_RSK3_7_2">#N/A</definedName>
    <definedName name="_USD1">#REF!</definedName>
    <definedName name="_xlnm._FilterDatabase" localSheetId="1" hidden="1">'KEŞİF LİSTESİ'!$C$3:$L$1624</definedName>
    <definedName name="A">#N/A</definedName>
    <definedName name="A_1">#N/A</definedName>
    <definedName name="A_2">#N/A</definedName>
    <definedName name="ABAY_BUTCE_ALTUG">#REF!</definedName>
    <definedName name="ABAY_BUTCE_ALTUG_1">#REF!</definedName>
    <definedName name="ABAY_BUTCE_ALTUG_2">"$#BAŞV!.#BAŞV!#BAŞV!"</definedName>
    <definedName name="ac">NA()</definedName>
    <definedName name="ac_1">NA()</definedName>
    <definedName name="ac_1_1">NA()</definedName>
    <definedName name="ac_1_2">NA()</definedName>
    <definedName name="ac_1_3">NA()</definedName>
    <definedName name="ac_1_4">NA()</definedName>
    <definedName name="ac_1_5">NA()</definedName>
    <definedName name="ac_1_6">NA()</definedName>
    <definedName name="ac_1_7">NA()</definedName>
    <definedName name="ac_2">NA()</definedName>
    <definedName name="ac_3">NA()</definedName>
    <definedName name="ac_4">NA()</definedName>
    <definedName name="ac_5">NA()</definedName>
    <definedName name="ac_6">NA()</definedName>
    <definedName name="ac_7">NA()</definedName>
    <definedName name="__AGK1">#N/A</definedName>
    <definedName name="AGK1_1">#N/A</definedName>
    <definedName name="AGK1_2">#N/A</definedName>
    <definedName name="__AGK2">#N/A</definedName>
    <definedName name="AGK2_1">#N/A</definedName>
    <definedName name="AGK2_2">#N/A</definedName>
    <definedName name="__AGK3">#N/A</definedName>
    <definedName name="AGK3_1">#N/A</definedName>
    <definedName name="AGK3_2">#N/A</definedName>
    <definedName name="__AGK4">#N/A</definedName>
    <definedName name="AGK4_1">#N/A</definedName>
    <definedName name="AGK4_2">#N/A</definedName>
    <definedName name="__AGK5">#N/A</definedName>
    <definedName name="AGK5_1">#N/A</definedName>
    <definedName name="AGK5_2">#N/A</definedName>
    <definedName name="AİŞ">#N/A</definedName>
    <definedName name="AİŞ_1">#N/A</definedName>
    <definedName name="AİŞ_2">#N/A</definedName>
    <definedName name="AKM">#N/A</definedName>
    <definedName name="AKM_1">#N/A</definedName>
    <definedName name="AKM_1_1">#N/A</definedName>
    <definedName name="AKM_1_1_1">#N/A</definedName>
    <definedName name="AKM_1_2">#N/A</definedName>
    <definedName name="AKM_2">#N/A</definedName>
    <definedName name="AKM_2_1">#N/A</definedName>
    <definedName name="AKM_2_1_1">#N/A</definedName>
    <definedName name="AKM_2_2">#N/A</definedName>
    <definedName name="AKM_3">#N/A</definedName>
    <definedName name="AKM_3_1">#N/A</definedName>
    <definedName name="AKM_3_2">#N/A</definedName>
    <definedName name="AKM_4">#N/A</definedName>
    <definedName name="AKM_4_1">#N/A</definedName>
    <definedName name="AKM_4_2">#N/A</definedName>
    <definedName name="AKM_5">#N/A</definedName>
    <definedName name="AKM_5_1">#N/A</definedName>
    <definedName name="AKM_5_2">#N/A</definedName>
    <definedName name="AKM_6">#N/A</definedName>
    <definedName name="AKM_6_1">#N/A</definedName>
    <definedName name="AKM_6_2">#N/A</definedName>
    <definedName name="AKM_7">#N/A</definedName>
    <definedName name="AKM_7_1">#N/A</definedName>
    <definedName name="AKM_7_2">#N/A</definedName>
    <definedName name="alan">#REF!</definedName>
    <definedName name="alan_1">#REF!</definedName>
    <definedName name="alan_2">"$#BAŞV!.#BAŞV!#BAŞV!"</definedName>
    <definedName name="alt">NA()</definedName>
    <definedName name="alt_1">NA()</definedName>
    <definedName name="alt_1_1">NA()</definedName>
    <definedName name="alt_1_2">NA()</definedName>
    <definedName name="alt_1_3">NA()</definedName>
    <definedName name="alt_1_4">NA()</definedName>
    <definedName name="alt_1_5">NA()</definedName>
    <definedName name="alt_1_6">NA()</definedName>
    <definedName name="alt_1_7">NA()</definedName>
    <definedName name="alt_2">NA()</definedName>
    <definedName name="alt_3">NA()</definedName>
    <definedName name="alt_4">NA()</definedName>
    <definedName name="alt_5">NA()</definedName>
    <definedName name="alt_6">NA()</definedName>
    <definedName name="alt_7">NA()</definedName>
    <definedName name="an">NA()</definedName>
    <definedName name="an_1">NA()</definedName>
    <definedName name="an_1_1">NA()</definedName>
    <definedName name="an_1_2">NA()</definedName>
    <definedName name="an_1_3">NA()</definedName>
    <definedName name="an_1_4">NA()</definedName>
    <definedName name="an_1_5">NA()</definedName>
    <definedName name="an_1_6">NA()</definedName>
    <definedName name="an_1_7">NA()</definedName>
    <definedName name="an_2">NA()</definedName>
    <definedName name="an_3">NA()</definedName>
    <definedName name="an_4">NA()</definedName>
    <definedName name="an_5">NA()</definedName>
    <definedName name="an_6">NA()</definedName>
    <definedName name="an_7">NA()</definedName>
    <definedName name="anahtar">NA()</definedName>
    <definedName name="anahtar_1">NA()</definedName>
    <definedName name="anahtar_2">#N/A</definedName>
    <definedName name="ANL">#N/A</definedName>
    <definedName name="ANL_1">#N/A</definedName>
    <definedName name="ANL_2">#N/A</definedName>
    <definedName name="ans">NA()</definedName>
    <definedName name="ans_1">NA()</definedName>
    <definedName name="ans_1_1">NA()</definedName>
    <definedName name="ans_1_2">NA()</definedName>
    <definedName name="ans_1_3">NA()</definedName>
    <definedName name="ans_1_4">NA()</definedName>
    <definedName name="ans_1_5">NA()</definedName>
    <definedName name="ans_1_6">NA()</definedName>
    <definedName name="ans_1_7">NA()</definedName>
    <definedName name="ans_2">NA()</definedName>
    <definedName name="ans_3">NA()</definedName>
    <definedName name="ans_4">NA()</definedName>
    <definedName name="ans_5">NA()</definedName>
    <definedName name="ans_6">NA()</definedName>
    <definedName name="ans_7">NA()</definedName>
    <definedName name="ANSS">NA()</definedName>
    <definedName name="ANSS_1">NA()</definedName>
    <definedName name="ANSS_1_1">NA()</definedName>
    <definedName name="ANSS_1_2">NA()</definedName>
    <definedName name="ANSS_1_3">NA()</definedName>
    <definedName name="ANSS_1_4">NA()</definedName>
    <definedName name="ANSS_1_5">NA()</definedName>
    <definedName name="ANSS_1_6">NA()</definedName>
    <definedName name="ANSS_1_7">NA()</definedName>
    <definedName name="ANSS_2">NA()</definedName>
    <definedName name="ANSS_3">NA()</definedName>
    <definedName name="ANSS_4">NA()</definedName>
    <definedName name="ANSS_5">NA()</definedName>
    <definedName name="ANSS_6">NA()</definedName>
    <definedName name="ANSS_7">NA()</definedName>
    <definedName name="Anteil_Inbetriebsetzungsleistung">#N/A</definedName>
    <definedName name="Anteil_Inbetriebsetzungsleistung_1">#N/A</definedName>
    <definedName name="Anteil_Inbetriebsetzungsleistung_2">#N/A</definedName>
    <definedName name="ARM">#N/A</definedName>
    <definedName name="ARM_1">#N/A</definedName>
    <definedName name="ARM_1_1">#N/A</definedName>
    <definedName name="ARM_1_1_1">#N/A</definedName>
    <definedName name="ARM_1_2">#N/A</definedName>
    <definedName name="ARM_2">#N/A</definedName>
    <definedName name="ARM_2_1">#N/A</definedName>
    <definedName name="ARM_2_1_1">#N/A</definedName>
    <definedName name="ARM_2_2">#N/A</definedName>
    <definedName name="ARM_3">#N/A</definedName>
    <definedName name="ARM_3_1">#N/A</definedName>
    <definedName name="ARM_3_2">#N/A</definedName>
    <definedName name="ARM_4">#N/A</definedName>
    <definedName name="ARM_4_1">#N/A</definedName>
    <definedName name="ARM_4_2">#N/A</definedName>
    <definedName name="ARM_5">#N/A</definedName>
    <definedName name="ARM_5_1">#N/A</definedName>
    <definedName name="ARM_5_2">#N/A</definedName>
    <definedName name="ARM_6">#N/A</definedName>
    <definedName name="ARM_6_1">#N/A</definedName>
    <definedName name="ARM_6_2">#N/A</definedName>
    <definedName name="ARM_7">#N/A</definedName>
    <definedName name="ARM_7_1">#N/A</definedName>
    <definedName name="ARM_7_2">#N/A</definedName>
    <definedName name="armatür">NA()</definedName>
    <definedName name="armatür_1">NA()</definedName>
    <definedName name="armatür_2">#N/A</definedName>
    <definedName name="AS">NA()</definedName>
    <definedName name="AS_1">NA()</definedName>
    <definedName name="AS_1_1">NA()</definedName>
    <definedName name="AS_1_2">NA()</definedName>
    <definedName name="AS_1_3">NA()</definedName>
    <definedName name="AS_1_4">NA()</definedName>
    <definedName name="AS_1_5">NA()</definedName>
    <definedName name="AS_1_6">NA()</definedName>
    <definedName name="AS_1_7">NA()</definedName>
    <definedName name="AS_2">NA()</definedName>
    <definedName name="AS_3">NA()</definedName>
    <definedName name="AS_4">NA()</definedName>
    <definedName name="AS_5">NA()</definedName>
    <definedName name="AS_6">NA()</definedName>
    <definedName name="AS_7">NA()</definedName>
    <definedName name="ASD">#N/A</definedName>
    <definedName name="ASD_1">#N/A</definedName>
    <definedName name="ASD_1_1">#N/A</definedName>
    <definedName name="ASD_1_1_1">#N/A</definedName>
    <definedName name="ASD_1_1_1_1">#N/A</definedName>
    <definedName name="ASD_1_1_1_1_1">#N/A</definedName>
    <definedName name="ASD_1_1_2">#N/A</definedName>
    <definedName name="ASD_1_2">#N/A</definedName>
    <definedName name="ASD_1_2_1">#N/A</definedName>
    <definedName name="ASD_1_2_1_1">#N/A</definedName>
    <definedName name="ASD_1_2_2">#N/A</definedName>
    <definedName name="ASD_1_3">#N/A</definedName>
    <definedName name="ASD_1_3_1">#N/A</definedName>
    <definedName name="ASD_1_3_2">#N/A</definedName>
    <definedName name="ASD_1_4">#N/A</definedName>
    <definedName name="ASD_1_4_1">#N/A</definedName>
    <definedName name="ASD_1_4_2">#N/A</definedName>
    <definedName name="ASD_1_5">#N/A</definedName>
    <definedName name="ASD_1_5_1">#N/A</definedName>
    <definedName name="ASD_1_5_2">#N/A</definedName>
    <definedName name="ASD_1_6">#N/A</definedName>
    <definedName name="ASD_1_6_1">#N/A</definedName>
    <definedName name="ASD_1_6_2">#N/A</definedName>
    <definedName name="ASD_1_7">#N/A</definedName>
    <definedName name="ASD_1_7_1">#N/A</definedName>
    <definedName name="ASD_1_7_2">#N/A</definedName>
    <definedName name="ASD_2">#N/A</definedName>
    <definedName name="ASD_2_1">#N/A</definedName>
    <definedName name="ASD_2_1_1">#N/A</definedName>
    <definedName name="ASD_2_2">#N/A</definedName>
    <definedName name="ASD_3">#N/A</definedName>
    <definedName name="ASD_3_1">#N/A</definedName>
    <definedName name="ASD_3_2">#N/A</definedName>
    <definedName name="ASD_4">#N/A</definedName>
    <definedName name="ASD_4_1">#N/A</definedName>
    <definedName name="ASD_4_2">#N/A</definedName>
    <definedName name="ASD_5">#N/A</definedName>
    <definedName name="ASD_5_1">#N/A</definedName>
    <definedName name="ASD_5_2">#N/A</definedName>
    <definedName name="ASD_6">#N/A</definedName>
    <definedName name="ASD_6_1">#N/A</definedName>
    <definedName name="ASD_6_2">#N/A</definedName>
    <definedName name="ASD_7">#N/A</definedName>
    <definedName name="ASD_7_1">#N/A</definedName>
    <definedName name="ASD_7_2">#N/A</definedName>
    <definedName name="ASDDFG">#N/A</definedName>
    <definedName name="ASDDFG_1">#N/A</definedName>
    <definedName name="ASDDFG_1_1">#N/A</definedName>
    <definedName name="ASDDFG_1_1_1">#N/A</definedName>
    <definedName name="ASDDFG_1_1_1_1">#N/A</definedName>
    <definedName name="ASDDFG_1_1_1_1_1">#N/A</definedName>
    <definedName name="ASDDFG_1_1_2">#N/A</definedName>
    <definedName name="ASDDFG_1_2">#N/A</definedName>
    <definedName name="ASDDFG_1_2_1">#N/A</definedName>
    <definedName name="ASDDFG_1_2_1_1">#N/A</definedName>
    <definedName name="ASDDFG_1_2_2">#N/A</definedName>
    <definedName name="ASDDFG_1_3">#N/A</definedName>
    <definedName name="ASDDFG_1_3_1">#N/A</definedName>
    <definedName name="ASDDFG_1_3_2">#N/A</definedName>
    <definedName name="ASDDFG_1_4">#N/A</definedName>
    <definedName name="ASDDFG_1_4_1">#N/A</definedName>
    <definedName name="ASDDFG_1_4_2">#N/A</definedName>
    <definedName name="ASDDFG_1_5">#N/A</definedName>
    <definedName name="ASDDFG_1_5_1">#N/A</definedName>
    <definedName name="ASDDFG_1_5_2">#N/A</definedName>
    <definedName name="ASDDFG_1_6">#N/A</definedName>
    <definedName name="ASDDFG_1_6_1">#N/A</definedName>
    <definedName name="ASDDFG_1_6_2">#N/A</definedName>
    <definedName name="ASDDFG_1_7">#N/A</definedName>
    <definedName name="ASDDFG_1_7_1">#N/A</definedName>
    <definedName name="ASDDFG_1_7_2">#N/A</definedName>
    <definedName name="ASDDFG_2">#N/A</definedName>
    <definedName name="ASDDFG_2_1">#N/A</definedName>
    <definedName name="ASDDFG_2_1_1">#N/A</definedName>
    <definedName name="ASDDFG_2_2">#N/A</definedName>
    <definedName name="ASDDFG_3">#N/A</definedName>
    <definedName name="ASDDFG_3_1">#N/A</definedName>
    <definedName name="ASDDFG_3_2">#N/A</definedName>
    <definedName name="ASDDFG_4">#N/A</definedName>
    <definedName name="ASDDFG_4_1">#N/A</definedName>
    <definedName name="ASDDFG_4_2">#N/A</definedName>
    <definedName name="ASDDFG_5">#N/A</definedName>
    <definedName name="ASDDFG_5_1">#N/A</definedName>
    <definedName name="ASDDFG_5_2">#N/A</definedName>
    <definedName name="ASDDFG_6">#N/A</definedName>
    <definedName name="ASDDFG_6_1">#N/A</definedName>
    <definedName name="ASDDFG_6_2">#N/A</definedName>
    <definedName name="ASDDFG_7">#N/A</definedName>
    <definedName name="ASDDFG_7_1">#N/A</definedName>
    <definedName name="ASDDFG_7_2">#N/A</definedName>
    <definedName name="ATOP">#N/A</definedName>
    <definedName name="ATOP_1">#N/A</definedName>
    <definedName name="ATOP_1_1">#N/A</definedName>
    <definedName name="ATOP_1_1_1">#N/A</definedName>
    <definedName name="ATOP_1_1_1_1">#N/A</definedName>
    <definedName name="ATOP_1_1_1_1_1">#N/A</definedName>
    <definedName name="ATOP_1_1_2">#N/A</definedName>
    <definedName name="ATOP_1_2">#N/A</definedName>
    <definedName name="ATOP_1_2_1">#N/A</definedName>
    <definedName name="ATOP_1_2_1_1">#N/A</definedName>
    <definedName name="ATOP_1_2_2">#N/A</definedName>
    <definedName name="ATOP_1_3">#N/A</definedName>
    <definedName name="ATOP_1_3_1">#N/A</definedName>
    <definedName name="ATOP_1_3_2">#N/A</definedName>
    <definedName name="ATOP_1_4">#N/A</definedName>
    <definedName name="ATOP_1_4_1">#N/A</definedName>
    <definedName name="ATOP_1_4_2">#N/A</definedName>
    <definedName name="ATOP_1_5">#N/A</definedName>
    <definedName name="ATOP_1_5_1">#N/A</definedName>
    <definedName name="ATOP_1_5_2">#N/A</definedName>
    <definedName name="ATOP_1_6">#N/A</definedName>
    <definedName name="ATOP_1_6_1">#N/A</definedName>
    <definedName name="ATOP_1_6_2">#N/A</definedName>
    <definedName name="ATOP_1_7">#N/A</definedName>
    <definedName name="ATOP_1_7_1">#N/A</definedName>
    <definedName name="ATOP_1_7_2">#N/A</definedName>
    <definedName name="ATOP_2">#N/A</definedName>
    <definedName name="ATOP_2_1">#N/A</definedName>
    <definedName name="ATOP_2_1_1">#N/A</definedName>
    <definedName name="ATOP_2_2">#N/A</definedName>
    <definedName name="ATOP_3">#N/A</definedName>
    <definedName name="ATOP_3_1">#N/A</definedName>
    <definedName name="ATOP_3_2">#N/A</definedName>
    <definedName name="ATOP_4">#N/A</definedName>
    <definedName name="ATOP_4_1">#N/A</definedName>
    <definedName name="ATOP_4_2">#N/A</definedName>
    <definedName name="ATOP_5">#N/A</definedName>
    <definedName name="ATOP_5_1">#N/A</definedName>
    <definedName name="ATOP_5_2">#N/A</definedName>
    <definedName name="ATOP_6">#N/A</definedName>
    <definedName name="ATOP_6_1">#N/A</definedName>
    <definedName name="ATOP_6_2">#N/A</definedName>
    <definedName name="ATOP_7">#N/A</definedName>
    <definedName name="ATOP_7_1">#N/A</definedName>
    <definedName name="ATOP_7_2">#N/A</definedName>
    <definedName name="B">#N/A</definedName>
    <definedName name="B_1">#N/A</definedName>
    <definedName name="B_2">#N/A</definedName>
    <definedName name="BASLIK">#N/A</definedName>
    <definedName name="BASLIK_1">#N/A</definedName>
    <definedName name="BASLIK_1_1">#N/A</definedName>
    <definedName name="BASLIK_1_1_1">#N/A</definedName>
    <definedName name="BASLIK_1_2">#N/A</definedName>
    <definedName name="BASLIK_2">#N/A</definedName>
    <definedName name="BASLIK_2_1">#N/A</definedName>
    <definedName name="BASLIK_2_1_1">#N/A</definedName>
    <definedName name="BASLIK_2_2">#N/A</definedName>
    <definedName name="BASLIK_3">#REF!</definedName>
    <definedName name="BASLIK_3_1">#REF!</definedName>
    <definedName name="BASLIK_3_2">"$#BAŞV!.#BAŞV!#BAŞV!"</definedName>
    <definedName name="BAŞLIK">#N/A</definedName>
    <definedName name="BAŞLIK_1">#N/A</definedName>
    <definedName name="BAŞLIK_1_1">#N/A</definedName>
    <definedName name="BAŞLIK_1_1_1">#N/A</definedName>
    <definedName name="BAŞLIK_1_2">#N/A</definedName>
    <definedName name="BAŞLIK_2">#N/A</definedName>
    <definedName name="BAŞLIK_2_1">#N/A</definedName>
    <definedName name="BAŞLIK_2_1_1">#N/A</definedName>
    <definedName name="BAŞLIK_2_2">#N/A</definedName>
    <definedName name="BAŞLIK_3">#REF!</definedName>
    <definedName name="BAŞLIK_3_1">#REF!</definedName>
    <definedName name="BAŞLIK_3_2">"$#BAŞV!.#BAŞV!#BAŞV!"</definedName>
    <definedName name="BAYBAK_BF___0">'[3]BB_BF 2005'!$A$7:$I$1050</definedName>
    <definedName name="BAYBAK_BF___0_1">'[3]BB_BF 2005'!$A$7:$I$1050</definedName>
    <definedName name="BAYBAK_BF___0_2">'[3]BB_BF 2005:Metraj cetveli'!$A$7:$I$1552</definedName>
    <definedName name="BAYBAK_BF___0_3">#REF!</definedName>
    <definedName name="bb">'[4]FRESHCAKE ELEK_ HAKEDİŞ'!#REF!</definedName>
    <definedName name="BB_1">'[5]sorti-teklif'!$P$2</definedName>
    <definedName name="bb_1_1">'[4]FRESHCAKE ELEK_ HAKEDİŞ'!#REF!</definedName>
    <definedName name="bb_1_1_1">'[4]FRESHCAKE ELEK_ HAKEDİŞ'!#REF!</definedName>
    <definedName name="bb_1_2">'[4]FRESHCAKE ELEK_ HAKEDİŞ'!#REF!</definedName>
    <definedName name="bb_1_3">'[4]FRESHCAKE ELEK_ HAKEDİŞ'!#REF!</definedName>
    <definedName name="bb_1_4">'[4]FRESHCAKE ELEK_ HAKEDİŞ'!#REF!</definedName>
    <definedName name="bb_1_5">'[4]FRESHCAKE ELEK_ HAKEDİŞ'!#REF!</definedName>
    <definedName name="bb_1_6">'[4]FRESHCAKE ELEK_ HAKEDİŞ'!#REF!</definedName>
    <definedName name="bb_1_7">'[4]FRESHCAKE ELEK_ HAKEDİŞ'!#REF!</definedName>
    <definedName name="bb_2">'[4]FRESHCAKE ELEK_ HAKEDİŞ'!#REF!</definedName>
    <definedName name="bb_3">'[4]FRESHCAKE ELEK_ HAKEDİŞ'!#REF!</definedName>
    <definedName name="bb_4">'[4]FRESHCAKE ELEK_ HAKEDİŞ'!#REF!</definedName>
    <definedName name="bb_5">'[4]FRESHCAKE ELEK_ HAKEDİŞ'!#REF!</definedName>
    <definedName name="bb_6">'[4]FRESHCAKE ELEK_ HAKEDİŞ'!#REF!</definedName>
    <definedName name="bb_7">'[4]FRESHCAKE ELEK_ HAKEDİŞ'!#REF!</definedName>
    <definedName name="BF">#REF!</definedName>
    <definedName name="BF_1">#REF!</definedName>
    <definedName name="BF_2">"$#BAŞV!.#BAŞV!#BAŞV!"</definedName>
    <definedName name="bfk">#N/A</definedName>
    <definedName name="bfk_1">#REF!</definedName>
    <definedName name="bfk_2">"$#BAŞV!.#BAŞV!#BAŞV!"</definedName>
    <definedName name="BFR">#N/A</definedName>
    <definedName name="BFR_1">#N/A</definedName>
    <definedName name="BFR_1_1">#REF!</definedName>
    <definedName name="BFR_2">#N/A</definedName>
    <definedName name="bil">NA()</definedName>
    <definedName name="bil_1">NA()</definedName>
    <definedName name="bil_1_1">NA()</definedName>
    <definedName name="bil_1_2">NA()</definedName>
    <definedName name="bil_1_3">NA()</definedName>
    <definedName name="bil_1_4">NA()</definedName>
    <definedName name="bil_1_5">NA()</definedName>
    <definedName name="bil_1_6">NA()</definedName>
    <definedName name="bil_1_7">NA()</definedName>
    <definedName name="bil_2">NA()</definedName>
    <definedName name="bil_3">NA()</definedName>
    <definedName name="bil_4">NA()</definedName>
    <definedName name="bil_5">NA()</definedName>
    <definedName name="bil_6">NA()</definedName>
    <definedName name="bil_7">NA()</definedName>
    <definedName name="bo">#REF!</definedName>
    <definedName name="bo_1">#REF!</definedName>
    <definedName name="bo_1_1">#REF!</definedName>
    <definedName name="bo_1_2">#REF!</definedName>
    <definedName name="bo_1_3">#REF!</definedName>
    <definedName name="bo_1_4">#REF!</definedName>
    <definedName name="bo_1_5">#REF!</definedName>
    <definedName name="bo_1_6">#REF!</definedName>
    <definedName name="bo_1_7">#REF!</definedName>
    <definedName name="bo_2">#REF!</definedName>
    <definedName name="bo_3">#REF!</definedName>
    <definedName name="bo_4">#REF!</definedName>
    <definedName name="bo_5">#REF!</definedName>
    <definedName name="bo_6">#REF!</definedName>
    <definedName name="bo_7">#REF!</definedName>
    <definedName name="BuiltIn_Print_Titles___0___0___0___0___0">NA()</definedName>
    <definedName name="BuiltIn_Print_Titles___0___0___0___0___0_1">NA()</definedName>
    <definedName name="BuiltIn_Print_Titles___0___0___0___0___0_2">#N/A</definedName>
    <definedName name="Burak">NA()</definedName>
    <definedName name="Burak_1">NA()</definedName>
    <definedName name="Burak_2">#N/A</definedName>
    <definedName name="CAP">#N/A</definedName>
    <definedName name="CAP_1">#N/A</definedName>
    <definedName name="CAP_1_1">#N/A</definedName>
    <definedName name="CAP_1_1_1">#N/A</definedName>
    <definedName name="CAP_1_2">#N/A</definedName>
    <definedName name="CAP_2">#N/A</definedName>
    <definedName name="CAP_2_1">#N/A</definedName>
    <definedName name="CAP_2_1_1">#N/A</definedName>
    <definedName name="CAP_2_2">#N/A</definedName>
    <definedName name="CAP_3">#N/A</definedName>
    <definedName name="CAP_3_1">#N/A</definedName>
    <definedName name="CAP_3_2">#N/A</definedName>
    <definedName name="CAP_4">#N/A</definedName>
    <definedName name="CAP_4_1">#N/A</definedName>
    <definedName name="CAP_4_2">#N/A</definedName>
    <definedName name="CAP_5">#N/A</definedName>
    <definedName name="CAP_5_1">#N/A</definedName>
    <definedName name="CAP_5_2">#N/A</definedName>
    <definedName name="CAP_6">#N/A</definedName>
    <definedName name="CAP_6_1">#N/A</definedName>
    <definedName name="CAP_6_2">#N/A</definedName>
    <definedName name="CAP_7">#N/A</definedName>
    <definedName name="CAP_7_1">#N/A</definedName>
    <definedName name="CAP_7_2">#N/A</definedName>
    <definedName name="CBR">#N/A</definedName>
    <definedName name="CBR_1">#N/A</definedName>
    <definedName name="CBR_2">#N/A</definedName>
    <definedName name="cc">#N/A</definedName>
    <definedName name="cc_1">#N/A</definedName>
    <definedName name="cc_1_1">#N/A</definedName>
    <definedName name="cc_1_1_1">#N/A</definedName>
    <definedName name="cc_1_1_1_1">#N/A</definedName>
    <definedName name="cc_1_1_1_1_1">#N/A</definedName>
    <definedName name="cc_1_1_2">#N/A</definedName>
    <definedName name="cc_1_2">#N/A</definedName>
    <definedName name="cc_1_2_1">#N/A</definedName>
    <definedName name="cc_1_2_1_1">#N/A</definedName>
    <definedName name="cc_1_2_2">#N/A</definedName>
    <definedName name="cc_1_3">#N/A</definedName>
    <definedName name="cc_1_3_1">#N/A</definedName>
    <definedName name="cc_1_3_2">#N/A</definedName>
    <definedName name="cc_1_4">#N/A</definedName>
    <definedName name="cc_1_4_1">#N/A</definedName>
    <definedName name="cc_1_4_2">#N/A</definedName>
    <definedName name="cc_1_5">#N/A</definedName>
    <definedName name="cc_1_5_1">#N/A</definedName>
    <definedName name="cc_1_5_2">#N/A</definedName>
    <definedName name="cc_1_6">#N/A</definedName>
    <definedName name="cc_1_6_1">#N/A</definedName>
    <definedName name="cc_1_6_2">#N/A</definedName>
    <definedName name="cc_1_7">#N/A</definedName>
    <definedName name="cc_1_7_1">#N/A</definedName>
    <definedName name="cc_1_7_2">#N/A</definedName>
    <definedName name="cc_2">#N/A</definedName>
    <definedName name="cc_2_1">#N/A</definedName>
    <definedName name="cc_2_1_1">#N/A</definedName>
    <definedName name="cc_2_2">#N/A</definedName>
    <definedName name="cc_3">#N/A</definedName>
    <definedName name="cc_3_1">#N/A</definedName>
    <definedName name="cc_3_2">#N/A</definedName>
    <definedName name="cc_4">#N/A</definedName>
    <definedName name="cc_4_1">#N/A</definedName>
    <definedName name="cc_4_2">#N/A</definedName>
    <definedName name="cc_5">#N/A</definedName>
    <definedName name="cc_5_1">#N/A</definedName>
    <definedName name="cc_5_2">#N/A</definedName>
    <definedName name="cc_6">#N/A</definedName>
    <definedName name="cc_6_1">#N/A</definedName>
    <definedName name="cc_6_2">#N/A</definedName>
    <definedName name="cc_7">#N/A</definedName>
    <definedName name="cc_7_1">#N/A</definedName>
    <definedName name="cc_7_2">#N/A</definedName>
    <definedName name="CHF">NA()</definedName>
    <definedName name="CHF_1">NA()</definedName>
    <definedName name="CHF_2">#N/A</definedName>
    <definedName name="Country">#N/A</definedName>
    <definedName name="Country_1">#N/A</definedName>
    <definedName name="Country_1_1">#N/A</definedName>
    <definedName name="Country_1_1_1">#N/A</definedName>
    <definedName name="Country_1_2">#N/A</definedName>
    <definedName name="Country_2">#N/A</definedName>
    <definedName name="Country_2_1">#N/A</definedName>
    <definedName name="Country_2_1_1">#N/A</definedName>
    <definedName name="Country_2_2">#N/A</definedName>
    <definedName name="Country_3">#REF!</definedName>
    <definedName name="Country_3_1">#REF!</definedName>
    <definedName name="Country_3_2">"$#BAŞV!.#BAŞV!#BAŞV!"</definedName>
    <definedName name="ct">NA()</definedName>
    <definedName name="ct_1">NA()</definedName>
    <definedName name="ct_1_1">NA()</definedName>
    <definedName name="ct_1_2">NA()</definedName>
    <definedName name="ct_1_3">NA()</definedName>
    <definedName name="ct_1_4">NA()</definedName>
    <definedName name="ct_1_5">NA()</definedName>
    <definedName name="ct_1_6">NA()</definedName>
    <definedName name="ct_1_7">NA()</definedName>
    <definedName name="ct_2">NA()</definedName>
    <definedName name="ct_3">NA()</definedName>
    <definedName name="ct_4">NA()</definedName>
    <definedName name="ct_5">NA()</definedName>
    <definedName name="ct_6">NA()</definedName>
    <definedName name="ct_7">NA()</definedName>
    <definedName name="CTV">#N/A</definedName>
    <definedName name="CTV_1">#N/A</definedName>
    <definedName name="CTV_1_1">#N/A</definedName>
    <definedName name="CTV_1_1_1">#N/A</definedName>
    <definedName name="CTV_1_1_1_1">#N/A</definedName>
    <definedName name="CTV_1_1_1_1_1">#N/A</definedName>
    <definedName name="CTV_1_1_2">#N/A</definedName>
    <definedName name="CTV_1_2">#N/A</definedName>
    <definedName name="CTV_1_2_1">#N/A</definedName>
    <definedName name="CTV_1_2_1_1">#N/A</definedName>
    <definedName name="CTV_1_2_2">#N/A</definedName>
    <definedName name="CTV_1_3">#N/A</definedName>
    <definedName name="CTV_1_3_1">#N/A</definedName>
    <definedName name="CTV_1_3_2">#N/A</definedName>
    <definedName name="CTV_1_4">#N/A</definedName>
    <definedName name="CTV_1_4_1">#N/A</definedName>
    <definedName name="CTV_1_4_2">#N/A</definedName>
    <definedName name="CTV_1_5">#N/A</definedName>
    <definedName name="CTV_1_5_1">#N/A</definedName>
    <definedName name="CTV_1_5_2">#N/A</definedName>
    <definedName name="CTV_1_6">#N/A</definedName>
    <definedName name="CTV_1_6_1">#N/A</definedName>
    <definedName name="CTV_1_6_2">#N/A</definedName>
    <definedName name="CTV_1_7">#N/A</definedName>
    <definedName name="CTV_1_7_1">#N/A</definedName>
    <definedName name="CTV_1_7_2">#N/A</definedName>
    <definedName name="CTV_2">#N/A</definedName>
    <definedName name="CTV_2_1">#N/A</definedName>
    <definedName name="CTV_2_1_1">#N/A</definedName>
    <definedName name="CTV_2_2">#N/A</definedName>
    <definedName name="CTV_3">#N/A</definedName>
    <definedName name="CTV_3_1">#N/A</definedName>
    <definedName name="CTV_3_2">#N/A</definedName>
    <definedName name="CTV_4">#N/A</definedName>
    <definedName name="CTV_4_1">#N/A</definedName>
    <definedName name="CTV_4_2">#N/A</definedName>
    <definedName name="CTV_5">#N/A</definedName>
    <definedName name="CTV_5_1">#N/A</definedName>
    <definedName name="CTV_5_2">#N/A</definedName>
    <definedName name="CTV_6">#N/A</definedName>
    <definedName name="CTV_6_1">#N/A</definedName>
    <definedName name="CTV_6_2">#N/A</definedName>
    <definedName name="CTV_7">#N/A</definedName>
    <definedName name="CTV_7_1">#N/A</definedName>
    <definedName name="CTV_7_2">#N/A</definedName>
    <definedName name="CU">#N/A</definedName>
    <definedName name="CU_1">#N/A</definedName>
    <definedName name="CU_1_1">#N/A</definedName>
    <definedName name="CU_1_1_1">#N/A</definedName>
    <definedName name="CU_1_2">#N/A</definedName>
    <definedName name="CU_2">#N/A</definedName>
    <definedName name="CU_2_1">#N/A</definedName>
    <definedName name="CU_2_1_1">#N/A</definedName>
    <definedName name="CU_2_2">#N/A</definedName>
    <definedName name="CU_3">#N/A</definedName>
    <definedName name="CU_3_1">#N/A</definedName>
    <definedName name="CU_3_2">#N/A</definedName>
    <definedName name="CU_4">#N/A</definedName>
    <definedName name="CU_4_1">#N/A</definedName>
    <definedName name="CU_4_2">#N/A</definedName>
    <definedName name="CU_5">#N/A</definedName>
    <definedName name="CU_5_1">#N/A</definedName>
    <definedName name="CU_5_2">#N/A</definedName>
    <definedName name="CU_6">#N/A</definedName>
    <definedName name="CU_6_1">#N/A</definedName>
    <definedName name="CU_6_2">#N/A</definedName>
    <definedName name="CU_7">#N/A</definedName>
    <definedName name="CU_7_1">#N/A</definedName>
    <definedName name="CU_7_2">#N/A</definedName>
    <definedName name="ÇÇÇ">NA()</definedName>
    <definedName name="ÇÇÇ_1">NA()</definedName>
    <definedName name="ÇÇÇ_2">#N/A</definedName>
    <definedName name="ÇKUR">#N/A</definedName>
    <definedName name="ÇKUR_1">#N/A</definedName>
    <definedName name="ÇKUR_1_1">#N/A</definedName>
    <definedName name="ÇKUR_1_1_1">#N/A</definedName>
    <definedName name="ÇKUR_1_1_1_1">#N/A</definedName>
    <definedName name="ÇKUR_1_1_1_1_1">#N/A</definedName>
    <definedName name="ÇKUR_1_1_2">#N/A</definedName>
    <definedName name="ÇKUR_1_2">#N/A</definedName>
    <definedName name="ÇKUR_1_2_1">#N/A</definedName>
    <definedName name="ÇKUR_1_2_1_1">#N/A</definedName>
    <definedName name="ÇKUR_1_2_2">#N/A</definedName>
    <definedName name="ÇKUR_1_3">#N/A</definedName>
    <definedName name="ÇKUR_1_3_1">#N/A</definedName>
    <definedName name="ÇKUR_1_3_2">#N/A</definedName>
    <definedName name="ÇKUR_1_4">#N/A</definedName>
    <definedName name="ÇKUR_1_4_1">#N/A</definedName>
    <definedName name="ÇKUR_1_4_2">#N/A</definedName>
    <definedName name="ÇKUR_1_5">#N/A</definedName>
    <definedName name="ÇKUR_1_5_1">#N/A</definedName>
    <definedName name="ÇKUR_1_5_2">#N/A</definedName>
    <definedName name="ÇKUR_1_6">#N/A</definedName>
    <definedName name="ÇKUR_1_6_1">#N/A</definedName>
    <definedName name="ÇKUR_1_6_2">#N/A</definedName>
    <definedName name="ÇKUR_1_7">#N/A</definedName>
    <definedName name="ÇKUR_1_7_1">#N/A</definedName>
    <definedName name="ÇKUR_1_7_2">#N/A</definedName>
    <definedName name="ÇKUR_2">#N/A</definedName>
    <definedName name="ÇKUR_2_1">#N/A</definedName>
    <definedName name="ÇKUR_2_1_1">#N/A</definedName>
    <definedName name="ÇKUR_2_2">#N/A</definedName>
    <definedName name="ÇKUR_3">#N/A</definedName>
    <definedName name="ÇKUR_3_1">#N/A</definedName>
    <definedName name="ÇKUR_3_2">#N/A</definedName>
    <definedName name="ÇKUR_4">#N/A</definedName>
    <definedName name="ÇKUR_4_1">#N/A</definedName>
    <definedName name="ÇKUR_4_2">#N/A</definedName>
    <definedName name="ÇKUR_5">#N/A</definedName>
    <definedName name="ÇKUR_5_1">#N/A</definedName>
    <definedName name="ÇKUR_5_2">#N/A</definedName>
    <definedName name="ÇKUR_6">#N/A</definedName>
    <definedName name="ÇKUR_6_1">#N/A</definedName>
    <definedName name="ÇKUR_6_2">#N/A</definedName>
    <definedName name="ÇKUR_7">#N/A</definedName>
    <definedName name="ÇKUR_7_1">#N/A</definedName>
    <definedName name="ÇKUR_7_2">#N/A</definedName>
    <definedName name="ÇKURFF">#N/A</definedName>
    <definedName name="ÇKURFF_1">#N/A</definedName>
    <definedName name="ÇKURFF_1_1">#N/A</definedName>
    <definedName name="ÇKURFF_1_1_1">#N/A</definedName>
    <definedName name="ÇKURFF_1_1_1_1">#N/A</definedName>
    <definedName name="ÇKURFF_1_1_1_1_1">#N/A</definedName>
    <definedName name="ÇKURFF_1_1_2">#N/A</definedName>
    <definedName name="ÇKURFF_1_2">#N/A</definedName>
    <definedName name="ÇKURFF_1_2_1">#N/A</definedName>
    <definedName name="ÇKURFF_1_2_1_1">#N/A</definedName>
    <definedName name="ÇKURFF_1_2_2">#N/A</definedName>
    <definedName name="ÇKURFF_1_3">#N/A</definedName>
    <definedName name="ÇKURFF_1_3_1">#N/A</definedName>
    <definedName name="ÇKURFF_1_3_2">#N/A</definedName>
    <definedName name="ÇKURFF_1_4">#N/A</definedName>
    <definedName name="ÇKURFF_1_4_1">#N/A</definedName>
    <definedName name="ÇKURFF_1_4_2">#N/A</definedName>
    <definedName name="ÇKURFF_1_5">#N/A</definedName>
    <definedName name="ÇKURFF_1_5_1">#N/A</definedName>
    <definedName name="ÇKURFF_1_5_2">#N/A</definedName>
    <definedName name="ÇKURFF_1_6">#N/A</definedName>
    <definedName name="ÇKURFF_1_6_1">#N/A</definedName>
    <definedName name="ÇKURFF_1_6_2">#N/A</definedName>
    <definedName name="ÇKURFF_1_7">#N/A</definedName>
    <definedName name="ÇKURFF_1_7_1">#N/A</definedName>
    <definedName name="ÇKURFF_1_7_2">#N/A</definedName>
    <definedName name="ÇKURFF_2">#N/A</definedName>
    <definedName name="ÇKURFF_2_1">#N/A</definedName>
    <definedName name="ÇKURFF_2_1_1">#N/A</definedName>
    <definedName name="ÇKURFF_2_2">#N/A</definedName>
    <definedName name="ÇKURFF_3">#N/A</definedName>
    <definedName name="ÇKURFF_3_1">#N/A</definedName>
    <definedName name="ÇKURFF_3_2">#N/A</definedName>
    <definedName name="ÇKURFF_4">#N/A</definedName>
    <definedName name="ÇKURFF_4_1">#N/A</definedName>
    <definedName name="ÇKURFF_4_2">#N/A</definedName>
    <definedName name="ÇKURFF_5">#N/A</definedName>
    <definedName name="ÇKURFF_5_1">#N/A</definedName>
    <definedName name="ÇKURFF_5_2">#N/A</definedName>
    <definedName name="ÇKURFF_6">#N/A</definedName>
    <definedName name="ÇKURFF_6_1">#N/A</definedName>
    <definedName name="ÇKURFF_6_2">#N/A</definedName>
    <definedName name="ÇKURFF_7">#N/A</definedName>
    <definedName name="ÇKURFF_7_1">#N/A</definedName>
    <definedName name="ÇKURFF_7_2">#N/A</definedName>
    <definedName name="d">#N/A</definedName>
    <definedName name="D___0">D___0</definedName>
    <definedName name="D___0_1">D___0_1</definedName>
    <definedName name="D___0_2">D___0_2</definedName>
    <definedName name="D___3">D___3</definedName>
    <definedName name="D___3_1">D___3_1</definedName>
    <definedName name="D___3_2">D___3_2</definedName>
    <definedName name="D___7">D___7</definedName>
    <definedName name="D___7_1">D___7_1</definedName>
    <definedName name="D___7_2">D___7_2</definedName>
    <definedName name="d_1">#N/A</definedName>
    <definedName name="D_1_1">NA()</definedName>
    <definedName name="D_1_1_1">NA()</definedName>
    <definedName name="d_1_1_1_1">#N/A</definedName>
    <definedName name="d_1_1_1_1_1">#N/A</definedName>
    <definedName name="d_1_1_1_1_1_1">#N/A</definedName>
    <definedName name="d_1_1_1_1_1_1_1">#N/A</definedName>
    <definedName name="d_1_1_1_2">#N/A</definedName>
    <definedName name="d_1_1_2">#N/A</definedName>
    <definedName name="D_1_2">#N/A</definedName>
    <definedName name="d_1_2_1">#N/A</definedName>
    <definedName name="d_1_2_1_1">#N/A</definedName>
    <definedName name="d_1_2_2">#N/A</definedName>
    <definedName name="d_1_3">#N/A</definedName>
    <definedName name="d_1_3_1">#N/A</definedName>
    <definedName name="d_1_3_2">#N/A</definedName>
    <definedName name="d_1_4">#N/A</definedName>
    <definedName name="d_1_4_1">#N/A</definedName>
    <definedName name="d_1_4_2">#N/A</definedName>
    <definedName name="d_1_5">#N/A</definedName>
    <definedName name="d_1_5_1">#N/A</definedName>
    <definedName name="d_1_5_2">#N/A</definedName>
    <definedName name="d_1_6">#N/A</definedName>
    <definedName name="d_1_6_1">#N/A</definedName>
    <definedName name="d_1_6_2">#N/A</definedName>
    <definedName name="d_1_7">#N/A</definedName>
    <definedName name="d_1_7_1">#N/A</definedName>
    <definedName name="d_1_7_2">#N/A</definedName>
    <definedName name="d_2">#N/A</definedName>
    <definedName name="d_2_1">#N/A</definedName>
    <definedName name="d_2_1_1">#N/A</definedName>
    <definedName name="d_2_2">#N/A</definedName>
    <definedName name="d_3">#N/A</definedName>
    <definedName name="d_3_1">#N/A</definedName>
    <definedName name="d_3_2">#N/A</definedName>
    <definedName name="d_4">#N/A</definedName>
    <definedName name="d_4_1">#N/A</definedName>
    <definedName name="d_4_2">#N/A</definedName>
    <definedName name="d_5">#N/A</definedName>
    <definedName name="d_5_1">#N/A</definedName>
    <definedName name="d_5_2">#N/A</definedName>
    <definedName name="d_6">#N/A</definedName>
    <definedName name="d_6_1">#N/A</definedName>
    <definedName name="d_6_2">#N/A</definedName>
    <definedName name="d_7">#N/A</definedName>
    <definedName name="d_7_1">#N/A</definedName>
    <definedName name="d_7_2">#N/A</definedName>
    <definedName name="DAT">#N/A</definedName>
    <definedName name="DAT_1">#N/A</definedName>
    <definedName name="DAT_1_1">#N/A</definedName>
    <definedName name="DAT_1_1_1">#N/A</definedName>
    <definedName name="DAT_1_1_1_1">#N/A</definedName>
    <definedName name="DAT_1_1_1_1_1">#N/A</definedName>
    <definedName name="DAT_1_1_2">#N/A</definedName>
    <definedName name="DAT_1_2">#N/A</definedName>
    <definedName name="DAT_1_2_1">#N/A</definedName>
    <definedName name="DAT_1_2_1_1">#N/A</definedName>
    <definedName name="DAT_1_2_2">#N/A</definedName>
    <definedName name="DAT_1_3">#N/A</definedName>
    <definedName name="DAT_1_3_1">#N/A</definedName>
    <definedName name="DAT_1_3_2">#N/A</definedName>
    <definedName name="DAT_1_4">#N/A</definedName>
    <definedName name="DAT_1_4_1">#N/A</definedName>
    <definedName name="DAT_1_4_2">#N/A</definedName>
    <definedName name="DAT_1_5">#N/A</definedName>
    <definedName name="DAT_1_5_1">#N/A</definedName>
    <definedName name="DAT_1_5_2">#N/A</definedName>
    <definedName name="DAT_1_6">#N/A</definedName>
    <definedName name="DAT_1_6_1">#N/A</definedName>
    <definedName name="DAT_1_6_2">#N/A</definedName>
    <definedName name="DAT_1_7">#N/A</definedName>
    <definedName name="DAT_1_7_1">#N/A</definedName>
    <definedName name="DAT_1_7_2">#N/A</definedName>
    <definedName name="DAT_2">#N/A</definedName>
    <definedName name="DAT_2_1">#N/A</definedName>
    <definedName name="DAT_2_1_1">#N/A</definedName>
    <definedName name="DAT_2_2">#N/A</definedName>
    <definedName name="DAT_3">#N/A</definedName>
    <definedName name="DAT_3_1">#N/A</definedName>
    <definedName name="DAT_3_2">#N/A</definedName>
    <definedName name="DAT_4">#N/A</definedName>
    <definedName name="DAT_4_1">#N/A</definedName>
    <definedName name="DAT_4_2">#N/A</definedName>
    <definedName name="DAT_5">#N/A</definedName>
    <definedName name="DAT_5_1">#N/A</definedName>
    <definedName name="DAT_5_2">#N/A</definedName>
    <definedName name="DAT_6">#N/A</definedName>
    <definedName name="DAT_6_1">#N/A</definedName>
    <definedName name="DAT_6_2">#N/A</definedName>
    <definedName name="DAT_7">#N/A</definedName>
    <definedName name="DAT_7_1">#N/A</definedName>
    <definedName name="DAT_7_2">#N/A</definedName>
    <definedName name="data">NA()</definedName>
    <definedName name="data_1">NA()</definedName>
    <definedName name="data_2">#N/A</definedName>
    <definedName name="DDH">NA()</definedName>
    <definedName name="DDH_1">NA()</definedName>
    <definedName name="DDH_2">#N/A</definedName>
    <definedName name="ddm">NA()</definedName>
    <definedName name="ddm_1">NA()</definedName>
    <definedName name="ddm_2">#N/A</definedName>
    <definedName name="dec">NA()</definedName>
    <definedName name="dec_1">NA()</definedName>
    <definedName name="dec_2">#N/A</definedName>
    <definedName name="df">#N/A</definedName>
    <definedName name="df_1">#N/A</definedName>
    <definedName name="df_1_1">#REF!</definedName>
    <definedName name="df_2">#N/A</definedName>
    <definedName name="DGS">#REF!</definedName>
    <definedName name="DGS_1">#REF!</definedName>
    <definedName name="DGS_2">#REF!</definedName>
    <definedName name="DGS_2_1">#REF!</definedName>
    <definedName name="DGS_2_1_1">#REF!</definedName>
    <definedName name="DGS_2_2">#REF!</definedName>
    <definedName name="DGS_3">#REF!</definedName>
    <definedName name="DGS_3_1">#REF!</definedName>
    <definedName name="DİS">#N/A</definedName>
    <definedName name="DİS_1">#N/A</definedName>
    <definedName name="DİS_2">#N/A</definedName>
    <definedName name="DKC">#N/A</definedName>
    <definedName name="DKC_1">#N/A</definedName>
    <definedName name="DKC_1_1">#N/A</definedName>
    <definedName name="DKC_1_1_1">#N/A</definedName>
    <definedName name="DKC_1_1_1_1">#N/A</definedName>
    <definedName name="DKC_1_1_1_1_1">#N/A</definedName>
    <definedName name="DKC_1_1_2">#N/A</definedName>
    <definedName name="DKC_1_2">#N/A</definedName>
    <definedName name="DKC_1_2_1">#N/A</definedName>
    <definedName name="DKC_1_2_1_1">#N/A</definedName>
    <definedName name="DKC_1_2_2">#N/A</definedName>
    <definedName name="DKC_1_3">#N/A</definedName>
    <definedName name="DKC_1_3_1">#N/A</definedName>
    <definedName name="DKC_1_3_2">#N/A</definedName>
    <definedName name="DKC_1_4">#N/A</definedName>
    <definedName name="DKC_1_4_1">#N/A</definedName>
    <definedName name="DKC_1_4_2">#N/A</definedName>
    <definedName name="DKC_1_5">#N/A</definedName>
    <definedName name="DKC_1_5_1">#N/A</definedName>
    <definedName name="DKC_1_5_2">#N/A</definedName>
    <definedName name="DKC_1_6">#N/A</definedName>
    <definedName name="DKC_1_6_1">#N/A</definedName>
    <definedName name="DKC_1_6_2">#N/A</definedName>
    <definedName name="DKC_1_7">#N/A</definedName>
    <definedName name="DKC_1_7_1">#N/A</definedName>
    <definedName name="DKC_1_7_2">#N/A</definedName>
    <definedName name="DKC_2">#N/A</definedName>
    <definedName name="DKC_2_1">#N/A</definedName>
    <definedName name="DKC_2_1_1">#N/A</definedName>
    <definedName name="DKC_2_2">#N/A</definedName>
    <definedName name="DKC_3">#N/A</definedName>
    <definedName name="DKC_3_1">#N/A</definedName>
    <definedName name="DKC_3_2">#N/A</definedName>
    <definedName name="DKC_4">#N/A</definedName>
    <definedName name="DKC_4_1">#N/A</definedName>
    <definedName name="DKC_4_2">#N/A</definedName>
    <definedName name="DKC_5">#N/A</definedName>
    <definedName name="DKC_5_1">#N/A</definedName>
    <definedName name="DKC_5_2">#N/A</definedName>
    <definedName name="DKC_6">#N/A</definedName>
    <definedName name="DKC_6_1">#N/A</definedName>
    <definedName name="DKC_6_2">#N/A</definedName>
    <definedName name="DKC_7">#N/A</definedName>
    <definedName name="DKC_7_1">#N/A</definedName>
    <definedName name="DKC_7_2">#N/A</definedName>
    <definedName name="DL">#N/A</definedName>
    <definedName name="DL_1">#N/A</definedName>
    <definedName name="DL_1_1">#N/A</definedName>
    <definedName name="DL_1_1_1">#N/A</definedName>
    <definedName name="DL_1_1_1_1">#N/A</definedName>
    <definedName name="DL_1_1_1_1_1">#N/A</definedName>
    <definedName name="DL_1_1_2">#N/A</definedName>
    <definedName name="DL_1_2">#N/A</definedName>
    <definedName name="DL_1_2_1">#N/A</definedName>
    <definedName name="DL_1_2_1_1">#N/A</definedName>
    <definedName name="DL_1_2_2">#N/A</definedName>
    <definedName name="DL_1_3">#N/A</definedName>
    <definedName name="DL_1_3_1">#N/A</definedName>
    <definedName name="DL_1_3_2">#N/A</definedName>
    <definedName name="DL_1_4">#N/A</definedName>
    <definedName name="DL_1_4_1">#N/A</definedName>
    <definedName name="DL_1_4_2">#N/A</definedName>
    <definedName name="DL_1_5">#N/A</definedName>
    <definedName name="DL_1_5_1">#N/A</definedName>
    <definedName name="DL_1_5_2">#N/A</definedName>
    <definedName name="DL_1_6">#N/A</definedName>
    <definedName name="DL_1_6_1">#N/A</definedName>
    <definedName name="DL_1_6_2">#N/A</definedName>
    <definedName name="DL_1_7">#N/A</definedName>
    <definedName name="DL_1_7_1">#N/A</definedName>
    <definedName name="DL_1_7_2">#N/A</definedName>
    <definedName name="DL_2">#N/A</definedName>
    <definedName name="DL_2_1">#N/A</definedName>
    <definedName name="DL_2_1_1">#N/A</definedName>
    <definedName name="DL_2_2">#N/A</definedName>
    <definedName name="DL_3">#N/A</definedName>
    <definedName name="DL_3_1">#N/A</definedName>
    <definedName name="DL_3_2">#N/A</definedName>
    <definedName name="DL_4">#N/A</definedName>
    <definedName name="DL_4_1">#N/A</definedName>
    <definedName name="DL_4_2">#N/A</definedName>
    <definedName name="DL_5">#N/A</definedName>
    <definedName name="DL_5_1">#N/A</definedName>
    <definedName name="DL_5_2">#N/A</definedName>
    <definedName name="DL_6">#N/A</definedName>
    <definedName name="DL_6_1">#N/A</definedName>
    <definedName name="DL_6_2">#N/A</definedName>
    <definedName name="DL_7">#N/A</definedName>
    <definedName name="DL_7_1">#N/A</definedName>
    <definedName name="DL_7_2">#N/A</definedName>
    <definedName name="DLR">#N/A</definedName>
    <definedName name="DLR_1">#N/A</definedName>
    <definedName name="DLR_1_1">#N/A</definedName>
    <definedName name="DLR_1_1_1">#N/A</definedName>
    <definedName name="DLR_1_1_1_1">#N/A</definedName>
    <definedName name="DLR_1_1_1_1_1">#N/A</definedName>
    <definedName name="DLR_1_1_2">#N/A</definedName>
    <definedName name="DLR_1_2">#N/A</definedName>
    <definedName name="DLR_1_2_1">#N/A</definedName>
    <definedName name="DLR_1_2_1_1">#N/A</definedName>
    <definedName name="DLR_1_2_2">#N/A</definedName>
    <definedName name="DLR_1_3">#N/A</definedName>
    <definedName name="DLR_1_3_1">#N/A</definedName>
    <definedName name="DLR_1_3_2">#N/A</definedName>
    <definedName name="DLR_1_4">#N/A</definedName>
    <definedName name="DLR_1_4_1">#N/A</definedName>
    <definedName name="DLR_1_4_2">#N/A</definedName>
    <definedName name="DLR_1_5">#N/A</definedName>
    <definedName name="DLR_1_5_1">#N/A</definedName>
    <definedName name="DLR_1_5_2">#N/A</definedName>
    <definedName name="DLR_1_6">#N/A</definedName>
    <definedName name="DLR_1_6_1">#N/A</definedName>
    <definedName name="DLR_1_6_2">#N/A</definedName>
    <definedName name="DLR_1_7">#N/A</definedName>
    <definedName name="DLR_1_7_1">#N/A</definedName>
    <definedName name="DLR_1_7_2">#N/A</definedName>
    <definedName name="DLR_2">#N/A</definedName>
    <definedName name="DLR_2_1">#N/A</definedName>
    <definedName name="DLR_2_1_1">#N/A</definedName>
    <definedName name="DLR_2_2">#N/A</definedName>
    <definedName name="DLR_3">#N/A</definedName>
    <definedName name="DLR_3_1">#N/A</definedName>
    <definedName name="DLR_3_2">#N/A</definedName>
    <definedName name="DLR_4">#N/A</definedName>
    <definedName name="DLR_4_1">#N/A</definedName>
    <definedName name="DLR_4_2">#N/A</definedName>
    <definedName name="DLR_5">#N/A</definedName>
    <definedName name="DLR_5_1">#N/A</definedName>
    <definedName name="DLR_5_2">#N/A</definedName>
    <definedName name="DLR_6">#N/A</definedName>
    <definedName name="DLR_6_1">#N/A</definedName>
    <definedName name="DLR_6_2">#N/A</definedName>
    <definedName name="DLR_7">#N/A</definedName>
    <definedName name="DLR_7_1">#N/A</definedName>
    <definedName name="DLR_7_2">#N/A</definedName>
    <definedName name="DM">#N/A</definedName>
    <definedName name="DM_1">#N/A</definedName>
    <definedName name="dm_1_1">[8]SATIS!$O$6</definedName>
    <definedName name="DM_1_1_1">#N/A</definedName>
    <definedName name="DM_1_1_1_1">#N/A</definedName>
    <definedName name="DM_1_1_1_1_1">#N/A</definedName>
    <definedName name="DM_1_1_1_1_1_1">#N/A</definedName>
    <definedName name="DM_1_1_1_2">#N/A</definedName>
    <definedName name="DM_1_1_2">#N/A</definedName>
    <definedName name="DM_1_2">#N/A</definedName>
    <definedName name="DM_1_2_1">#N/A</definedName>
    <definedName name="DM_1_2_2">#N/A</definedName>
    <definedName name="DM_1_3">#N/A</definedName>
    <definedName name="DM_1_3_1">#N/A</definedName>
    <definedName name="DM_1_3_2">#N/A</definedName>
    <definedName name="DM_1_4">#N/A</definedName>
    <definedName name="DM_1_4_1">#N/A</definedName>
    <definedName name="DM_1_4_2">#N/A</definedName>
    <definedName name="DM_1_5">#N/A</definedName>
    <definedName name="DM_1_5_1">#N/A</definedName>
    <definedName name="DM_1_5_2">#N/A</definedName>
    <definedName name="DM_1_6">#N/A</definedName>
    <definedName name="DM_1_6_1">#N/A</definedName>
    <definedName name="DM_1_6_2">#N/A</definedName>
    <definedName name="DM_1_7">#N/A</definedName>
    <definedName name="DM_1_7_1">#N/A</definedName>
    <definedName name="DM_1_7_2">#N/A</definedName>
    <definedName name="DM_2">#N/A</definedName>
    <definedName name="DM_2_1">#N/A</definedName>
    <definedName name="DM_2_1_1">#N/A</definedName>
    <definedName name="DM_2_2">#N/A</definedName>
    <definedName name="DM_3">#N/A</definedName>
    <definedName name="DM_3_1">#N/A</definedName>
    <definedName name="DM_3_2">#N/A</definedName>
    <definedName name="DM_4">#N/A</definedName>
    <definedName name="DM_4_1">#N/A</definedName>
    <definedName name="DM_4_2">#N/A</definedName>
    <definedName name="DM_5">#N/A</definedName>
    <definedName name="DM_5_1">#N/A</definedName>
    <definedName name="DM_5_2">#N/A</definedName>
    <definedName name="DM_6">#N/A</definedName>
    <definedName name="DM_6_1">#N/A</definedName>
    <definedName name="DM_6_2">#N/A</definedName>
    <definedName name="DM_7">#N/A</definedName>
    <definedName name="DM_7_1">#N/A</definedName>
    <definedName name="DM_7_2">#N/A</definedName>
    <definedName name="do">NA()</definedName>
    <definedName name="do_1">NA()</definedName>
    <definedName name="do_2">#N/A</definedName>
    <definedName name="DOL">#N/A</definedName>
    <definedName name="DOL_1">#N/A</definedName>
    <definedName name="DOL_1_1">NA()</definedName>
    <definedName name="DOL_1_1_1">NA()</definedName>
    <definedName name="DOL_1_2">#N/A</definedName>
    <definedName name="DOL_2">#N/A</definedName>
    <definedName name="dolar">#N/A</definedName>
    <definedName name="dolar_1">#N/A</definedName>
    <definedName name="dolar_1_1">NA()</definedName>
    <definedName name="dolar_1_1_1">NA()</definedName>
    <definedName name="dolar_1_2">#N/A</definedName>
    <definedName name="dolar_2">#N/A</definedName>
    <definedName name="DR">#N/A</definedName>
    <definedName name="DR_1">#N/A</definedName>
    <definedName name="DR_1_1">#N/A</definedName>
    <definedName name="DR_1_1_1">#N/A</definedName>
    <definedName name="DR_1_1_1_1">#N/A</definedName>
    <definedName name="DR_1_1_1_1_1">#N/A</definedName>
    <definedName name="DR_1_1_2">#N/A</definedName>
    <definedName name="DR_1_2">#N/A</definedName>
    <definedName name="DR_1_2_1">#N/A</definedName>
    <definedName name="DR_1_2_1_1">#N/A</definedName>
    <definedName name="DR_1_2_2">#N/A</definedName>
    <definedName name="DR_1_3">#N/A</definedName>
    <definedName name="DR_1_3_1">#N/A</definedName>
    <definedName name="DR_1_3_2">#N/A</definedName>
    <definedName name="DR_1_4">#N/A</definedName>
    <definedName name="DR_1_4_1">#N/A</definedName>
    <definedName name="DR_1_4_2">#N/A</definedName>
    <definedName name="DR_1_5">#N/A</definedName>
    <definedName name="DR_1_5_1">#N/A</definedName>
    <definedName name="DR_1_5_2">#N/A</definedName>
    <definedName name="DR_1_6">#N/A</definedName>
    <definedName name="DR_1_6_1">#N/A</definedName>
    <definedName name="DR_1_6_2">#N/A</definedName>
    <definedName name="DR_1_7">#N/A</definedName>
    <definedName name="DR_1_7_1">#N/A</definedName>
    <definedName name="DR_1_7_2">#N/A</definedName>
    <definedName name="DR_2">#N/A</definedName>
    <definedName name="DR_2_1">#N/A</definedName>
    <definedName name="DR_2_1_1">#N/A</definedName>
    <definedName name="DR_2_2">#N/A</definedName>
    <definedName name="DR_3">#N/A</definedName>
    <definedName name="DR_3_1">#N/A</definedName>
    <definedName name="DR_3_2">#N/A</definedName>
    <definedName name="DR_4">#N/A</definedName>
    <definedName name="DR_4_1">#N/A</definedName>
    <definedName name="DR_4_2">#N/A</definedName>
    <definedName name="DR_5">#N/A</definedName>
    <definedName name="DR_5_1">#N/A</definedName>
    <definedName name="DR_5_2">#N/A</definedName>
    <definedName name="DR_6">#N/A</definedName>
    <definedName name="DR_6_1">#N/A</definedName>
    <definedName name="DR_6_2">#N/A</definedName>
    <definedName name="DR_7">#N/A</definedName>
    <definedName name="DR_7_1">#N/A</definedName>
    <definedName name="DR_7_2">#N/A</definedName>
    <definedName name="e">#N/A</definedName>
    <definedName name="e_1">#N/A</definedName>
    <definedName name="E_1_1">NA()</definedName>
    <definedName name="E_1_1_1">NA()</definedName>
    <definedName name="e_1_1_1_1">#N/A</definedName>
    <definedName name="e_1_1_1_1_1">#N/A</definedName>
    <definedName name="e_1_1_1_1_1_1">#N/A</definedName>
    <definedName name="e_1_1_1_1_1_1_1">#N/A</definedName>
    <definedName name="e_1_1_1_2">#N/A</definedName>
    <definedName name="e_1_1_2">#N/A</definedName>
    <definedName name="E_1_2">#N/A</definedName>
    <definedName name="e_1_2_1">#N/A</definedName>
    <definedName name="e_1_2_1_1">#N/A</definedName>
    <definedName name="e_1_2_2">#N/A</definedName>
    <definedName name="e_1_3">#N/A</definedName>
    <definedName name="e_1_3_1">#N/A</definedName>
    <definedName name="e_1_3_2">#N/A</definedName>
    <definedName name="e_1_4">#N/A</definedName>
    <definedName name="e_1_4_1">#N/A</definedName>
    <definedName name="e_1_4_2">#N/A</definedName>
    <definedName name="e_1_5">#N/A</definedName>
    <definedName name="e_1_5_1">#N/A</definedName>
    <definedName name="e_1_5_2">#N/A</definedName>
    <definedName name="e_1_6">#N/A</definedName>
    <definedName name="e_1_6_1">#N/A</definedName>
    <definedName name="e_1_6_2">#N/A</definedName>
    <definedName name="e_1_7">#N/A</definedName>
    <definedName name="e_1_7_1">#N/A</definedName>
    <definedName name="e_1_7_2">#N/A</definedName>
    <definedName name="e_2">#N/A</definedName>
    <definedName name="e_2_1">#N/A</definedName>
    <definedName name="e_2_1_1">#N/A</definedName>
    <definedName name="e_2_2">#N/A</definedName>
    <definedName name="e_3">#N/A</definedName>
    <definedName name="e_3_1">#N/A</definedName>
    <definedName name="e_3_2">#N/A</definedName>
    <definedName name="e_4">#N/A</definedName>
    <definedName name="e_4_1">#N/A</definedName>
    <definedName name="e_4_2">#N/A</definedName>
    <definedName name="e_5">#N/A</definedName>
    <definedName name="e_5_1">#N/A</definedName>
    <definedName name="e_5_2">#N/A</definedName>
    <definedName name="e_6">#N/A</definedName>
    <definedName name="e_6_1">#N/A</definedName>
    <definedName name="e_6_2">#N/A</definedName>
    <definedName name="e_7">#N/A</definedName>
    <definedName name="e_7_1">#N/A</definedName>
    <definedName name="e_7_2">#N/A</definedName>
    <definedName name="EAE">NA()</definedName>
    <definedName name="EAE_1">NA()</definedName>
    <definedName name="EAE_1_1">NA()</definedName>
    <definedName name="EAE_1_1_1">NA()</definedName>
    <definedName name="EAE_1_2">#N/A</definedName>
    <definedName name="EAE_2">#N/A</definedName>
    <definedName name="EAE_2_1">NA()</definedName>
    <definedName name="EAE_2_1_1">NA()</definedName>
    <definedName name="EAE_2_2">#N/A</definedName>
    <definedName name="EAE_3">#REF!</definedName>
    <definedName name="EAE_3_1">#REF!</definedName>
    <definedName name="EAE_3_2">"$#BAŞV!.#BAŞV!#BAŞV!"</definedName>
    <definedName name="EAR">#N/A</definedName>
    <definedName name="EAR_1">#N/A</definedName>
    <definedName name="EAR_2">#N/A</definedName>
    <definedName name="ECE">#N/A</definedName>
    <definedName name="ECE_1">#N/A</definedName>
    <definedName name="ECE_1_1">#REF!</definedName>
    <definedName name="ECE_2">#N/A</definedName>
    <definedName name="EIKN">#REF!</definedName>
    <definedName name="EIKN_1">#REF!</definedName>
    <definedName name="EIKN_2">"$#BAŞV!.#BAŞV!#BAŞV!"</definedName>
    <definedName name="EIKNOG">#REF!</definedName>
    <definedName name="EIKNOG_1">#REF!</definedName>
    <definedName name="EIKNOG_2">"$#BAŞV!.#BAŞV!#BAŞV!"</definedName>
    <definedName name="EMKN">#REF!</definedName>
    <definedName name="EMKN_1">#REF!</definedName>
    <definedName name="EMKN_2">"$#BAŞV!.#BAŞV!#BAŞV!"</definedName>
    <definedName name="EMKNOG">#REF!</definedName>
    <definedName name="EMKNOG_1">#REF!</definedName>
    <definedName name="EMKNOG_2">"$#BAŞV!.#BAŞV!#BAŞV!"</definedName>
    <definedName name="ENDEDRUCK">#N/A</definedName>
    <definedName name="ENDEDRUCK_1">#N/A</definedName>
    <definedName name="ENDEDRUCK_1_1">#N/A</definedName>
    <definedName name="ENDEDRUCK_1_1_1">#N/A</definedName>
    <definedName name="ENDEDRUCK_1_2">[10]HiPath3000!#REF!</definedName>
    <definedName name="ENDEDRUCK_2">[10]HiPath3000!#REF!</definedName>
    <definedName name="ENDEDRUCK_2_1">#N/A</definedName>
    <definedName name="ENDEDRUCK_2_1_1">#N/A</definedName>
    <definedName name="ENDEDRUCK_2_2">[10]HiPath3000!#REF!</definedName>
    <definedName name="ENDEDRUCK_3">#REF!</definedName>
    <definedName name="ENDEDRUCK_3_1">#REF!</definedName>
    <definedName name="Endg_Gen">#N/A</definedName>
    <definedName name="Endg_Gen_1">#N/A</definedName>
    <definedName name="Endg_Gen_2">#N/A</definedName>
    <definedName name="Endg_HW">#N/A</definedName>
    <definedName name="Endg_HW_1">#N/A</definedName>
    <definedName name="Endg_HW_2">#N/A</definedName>
    <definedName name="Endg_IBS">#N/A</definedName>
    <definedName name="Endg_IBS_1">#N/A</definedName>
    <definedName name="Endg_IBS_2">#N/A</definedName>
    <definedName name="Endg_KdEinw">#N/A</definedName>
    <definedName name="Endg_KdEinw_1">#N/A</definedName>
    <definedName name="Endg_KdEinw_2">#N/A</definedName>
    <definedName name="Endg_KdÜberg">#N/A</definedName>
    <definedName name="Endg_KdÜberg_1">#N/A</definedName>
    <definedName name="Endg_KdÜberg_2">#N/A</definedName>
    <definedName name="Endg_Kunda">#N/A</definedName>
    <definedName name="Endg_Kunda_1">#N/A</definedName>
    <definedName name="Endg_Kunda_2">#N/A</definedName>
    <definedName name="Endg_Sonst">#N/A</definedName>
    <definedName name="Endg_Sonst_1">#N/A</definedName>
    <definedName name="Endg_Sonst_2">#N/A</definedName>
    <definedName name="Endgeräte____0_9">#N/A</definedName>
    <definedName name="Endgeräte____0_9_1">#N/A</definedName>
    <definedName name="Endgeräte____0_9_2">#N/A</definedName>
    <definedName name="ER">#N/A</definedName>
    <definedName name="ER_1">#N/A</definedName>
    <definedName name="ER_1_1">[1]rayıc!#REF!</definedName>
    <definedName name="ER_1_1_1">#N/A</definedName>
    <definedName name="ER_1_1_1_1">#N/A</definedName>
    <definedName name="ER_1_1_1_1_1">[1]rayıc!#REF!</definedName>
    <definedName name="ER_1_1_1_1_1_1">#N/A</definedName>
    <definedName name="ER_1_1_1_1_1_1_1">#N/A</definedName>
    <definedName name="ER_1_1_1_1_2">#N/A</definedName>
    <definedName name="ER_1_1_2">#N/A</definedName>
    <definedName name="ER_1_2">#N/A</definedName>
    <definedName name="ER_1_2_1">#N/A</definedName>
    <definedName name="ER_1_2_2">#N/A</definedName>
    <definedName name="ER_1_3">#N/A</definedName>
    <definedName name="ER_1_3_1">#N/A</definedName>
    <definedName name="ER_1_3_2">#N/A</definedName>
    <definedName name="ER_1_4">#N/A</definedName>
    <definedName name="ER_1_4_1">#N/A</definedName>
    <definedName name="ER_1_4_2">#N/A</definedName>
    <definedName name="ER_1_5">#N/A</definedName>
    <definedName name="ER_1_5_1">#N/A</definedName>
    <definedName name="ER_1_5_2">#N/A</definedName>
    <definedName name="ER_1_6">#N/A</definedName>
    <definedName name="ER_1_6_1">#N/A</definedName>
    <definedName name="ER_1_6_2">#N/A</definedName>
    <definedName name="ER_1_7">#N/A</definedName>
    <definedName name="ER_1_7_1">#N/A</definedName>
    <definedName name="ER_1_7_2">#N/A</definedName>
    <definedName name="ER_2">#N/A</definedName>
    <definedName name="ER_2_1">#N/A</definedName>
    <definedName name="ER_2_1_1">#N/A</definedName>
    <definedName name="ER_2_1_1_1">[1]rayıc!#REF!</definedName>
    <definedName name="ER_2_2">#N/A</definedName>
    <definedName name="ER_3">#N/A</definedName>
    <definedName name="ER_3_1">#N/A</definedName>
    <definedName name="ER_3_2">#N/A</definedName>
    <definedName name="ER_4">#N/A</definedName>
    <definedName name="ER_4_1">#N/A</definedName>
    <definedName name="ER_4_2">#N/A</definedName>
    <definedName name="ER_5">#N/A</definedName>
    <definedName name="ER_5_1">#N/A</definedName>
    <definedName name="ER_5_2">#N/A</definedName>
    <definedName name="ER_6">#N/A</definedName>
    <definedName name="ER_6_1">#N/A</definedName>
    <definedName name="ER_6_2">#N/A</definedName>
    <definedName name="ER_7">#N/A</definedName>
    <definedName name="ER_7_1">#N/A</definedName>
    <definedName name="ER_7_2">#N/A</definedName>
    <definedName name="EU">#N/A</definedName>
    <definedName name="EU_1">#N/A</definedName>
    <definedName name="EU_1_1">#REF!</definedName>
    <definedName name="EU_1_1_1">#N/A</definedName>
    <definedName name="EU_1_1_1_1">#N/A</definedName>
    <definedName name="EU_1_1_1_1_1">#N/A</definedName>
    <definedName name="EU_1_1_1_1_1_1">#N/A</definedName>
    <definedName name="EU_1_1_1_2">#N/A</definedName>
    <definedName name="EU_1_1_2">#N/A</definedName>
    <definedName name="EU_1_2">#N/A</definedName>
    <definedName name="EU_1_2_1">#N/A</definedName>
    <definedName name="EU_1_2_2">#N/A</definedName>
    <definedName name="EU_1_3">#N/A</definedName>
    <definedName name="EU_1_3_1">#N/A</definedName>
    <definedName name="EU_1_3_2">#N/A</definedName>
    <definedName name="EU_1_4">#N/A</definedName>
    <definedName name="EU_1_4_1">#N/A</definedName>
    <definedName name="EU_1_4_2">#N/A</definedName>
    <definedName name="EU_1_5">#N/A</definedName>
    <definedName name="EU_1_5_1">#N/A</definedName>
    <definedName name="EU_1_5_2">#N/A</definedName>
    <definedName name="EU_1_6">#N/A</definedName>
    <definedName name="EU_1_6_1">#N/A</definedName>
    <definedName name="EU_1_6_2">#N/A</definedName>
    <definedName name="EU_1_7">#N/A</definedName>
    <definedName name="EU_1_7_1">#N/A</definedName>
    <definedName name="EU_1_7_2">#N/A</definedName>
    <definedName name="EU_2">#N/A</definedName>
    <definedName name="EU_2_1">#N/A</definedName>
    <definedName name="EU_2_1_1">#N/A</definedName>
    <definedName name="EU_2_2">#N/A</definedName>
    <definedName name="EU_3">#N/A</definedName>
    <definedName name="EU_3_1">#N/A</definedName>
    <definedName name="EU_3_2">#N/A</definedName>
    <definedName name="EU_4">#N/A</definedName>
    <definedName name="EU_4_1">#N/A</definedName>
    <definedName name="EU_4_2">#N/A</definedName>
    <definedName name="EU_5">#N/A</definedName>
    <definedName name="EU_5_1">#N/A</definedName>
    <definedName name="EU_5_2">#N/A</definedName>
    <definedName name="EU_6">#N/A</definedName>
    <definedName name="EU_6_1">#N/A</definedName>
    <definedName name="EU_6_2">#N/A</definedName>
    <definedName name="EU_7">#N/A</definedName>
    <definedName name="EU_7_1">#N/A</definedName>
    <definedName name="EU_7_2">#N/A</definedName>
    <definedName name="EUR">[11]KUR!$B$1</definedName>
    <definedName name="EUR_1">#N/A</definedName>
    <definedName name="EUR_1_1">#N/A</definedName>
    <definedName name="EUR_1_2">#N/A</definedName>
    <definedName name="euro">#N/A</definedName>
    <definedName name="euro_1">#N/A</definedName>
    <definedName name="EURO_1_1">NA()</definedName>
    <definedName name="EURO_1_1_1">NA()</definedName>
    <definedName name="EURO_1_2">#N/A</definedName>
    <definedName name="euro_2">#N/A</definedName>
    <definedName name="EURO1">[12]kur!$C$2</definedName>
    <definedName name="EURO1_1">#REF!</definedName>
    <definedName name="EUSD">NA()</definedName>
    <definedName name="EUSD_1">NA()</definedName>
    <definedName name="EUSD_2">#N/A</definedName>
    <definedName name="Excel_BuiltIn__FilterDatabase">#REF!</definedName>
    <definedName name="Excel_BuiltIn__FilterDatabase_9">#N/A</definedName>
    <definedName name="Excel_BuiltIn__FilterDatabase_9_1">#N/A</definedName>
    <definedName name="Excel_BuiltIn__FilterDatabase_9_2">#N/A</definedName>
    <definedName name="Excel_BuiltIn_Database">NA()</definedName>
    <definedName name="Excel_BuiltIn_Database_1">NA()</definedName>
    <definedName name="Excel_BuiltIn_Database_2">#N/A</definedName>
    <definedName name="Excel_BuiltIn_Print_Area_1">#N/A</definedName>
    <definedName name="Excel_BuiltIn_Print_Area_1_1">#N/A</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2">#N/A</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[28]KEŞİF!#REF!</definedName>
    <definedName name="Excel_BuiltIn_Print_Area_3">#N/A</definedName>
    <definedName name="Excel_BuiltIn_Print_Area_3_1">#N/A</definedName>
    <definedName name="Excel_BuiltIn_Print_Area_3_1_1">#N/A</definedName>
    <definedName name="Excel_BuiltIn_Print_Area_3_1_1_1">#N/A</definedName>
    <definedName name="Excel_BuiltIn_Print_Area_3_1_2">#N/A</definedName>
    <definedName name="Excel_BuiltIn_Print_Area_3_2">#N/A</definedName>
    <definedName name="Excel_BuiltIn_Print_Area_3_2_1">#REF!</definedName>
    <definedName name="Excel_BuiltIn_Print_Area_3_3">#REF!</definedName>
    <definedName name="Excel_BuiltIn_Print_Area_5_1">#N/A</definedName>
    <definedName name="Excel_BuiltIn_Print_Area_5_1_1">#N/A</definedName>
    <definedName name="Excel_BuiltIn_Print_Area_5_1_2">#N/A</definedName>
    <definedName name="Excel_BuiltIn_Print_Area_6">"$#REF!.$A$1:$G$223"</definedName>
    <definedName name="Excel_BuiltIn_Print_Area_7">"$#REF!.$A$1:$G$214"</definedName>
    <definedName name="Excel_BuiltIn_Print_Area_7_1">#REF!</definedName>
    <definedName name="Excel_BuiltIn_Print_Area_7_1_1">#REF!</definedName>
    <definedName name="Excel_BuiltIn_Print_Area_7_2">"$#BAŞV!.#BAŞV!#BAŞV!"</definedName>
    <definedName name="Excel_BuiltIn_Print_Area_9">"$#REF!.$A$1:$AR$2104"</definedName>
    <definedName name="Excel_BuiltIn_Print_Titles">#REF!</definedName>
    <definedName name="Excel_BuiltIn_Print_Titles_1">#N/A</definedName>
    <definedName name="Excel_BuiltIn_Print_Titles_1_1">#N/A</definedName>
    <definedName name="Excel_BuiltIn_Print_Titles_1_1_1">NA()</definedName>
    <definedName name="Excel_BuiltIn_Print_Titles_1_1_1_1">NA()</definedName>
    <definedName name="Excel_BuiltIn_Print_Titles_1_1_1_1_1">#REF!</definedName>
    <definedName name="Excel_BuiltIn_Print_Titles_1_1_1_1_1_1">#REF!</definedName>
    <definedName name="Excel_BuiltIn_Print_Titles_1_1_1_1_1_1_1">#REF!</definedName>
    <definedName name="Excel_BuiltIn_Print_Titles_1_1_1_1_1_1_1_1">#REF!</definedName>
    <definedName name="Excel_BuiltIn_Print_Titles_1_1_1_1_1_1_1_1_1">#REF!</definedName>
    <definedName name="Excel_BuiltIn_Print_Titles_1_1_2">#N/A</definedName>
    <definedName name="Excel_BuiltIn_Print_Titles_1_2">#N/A</definedName>
    <definedName name="Excel_BuiltIn_Print_Titles_2">#REF!</definedName>
    <definedName name="Excel_BuiltIn_Print_Titles_2_1">#REF!</definedName>
    <definedName name="Excel_BuiltIn_Print_Titles_2_1_1">#REF!</definedName>
    <definedName name="Excel_BuiltIn_Print_Titles_2_1_1_1">#REF!</definedName>
    <definedName name="Excel_BuiltIn_Print_Titles_2_1_1_1_1">#REF!</definedName>
    <definedName name="Excel_BuiltIn_Print_Titles_2_1_1_1_1_1">#REF!</definedName>
    <definedName name="Excel_BuiltIn_Print_Titles_2_1_1_1_1_1_1">#REF!</definedName>
    <definedName name="Excel_BuiltIn_Print_Titles_2_1_1_1_1_1_1_1">#REF!</definedName>
    <definedName name="Excel_BuiltIn_Print_Titles_2_1_1_1_1_1_1_1_1">#REF!</definedName>
    <definedName name="Excel_BuiltIn_Print_Titles_2_1_1_1_1_1_1_1_1_1">#REF!</definedName>
    <definedName name="Excel_BuiltIn_Print_Titles_2_1_1_1_1_1_1_1_1_1_1">"$#BAŞV!.#BAŞV!#BAŞV!"</definedName>
    <definedName name="Excel_BuiltIn_Print_Titles_3">#REF!</definedName>
    <definedName name="Excel_BuiltIn_Print_Titles_3_1">#REF!</definedName>
    <definedName name="Excel_BuiltIn_Print_Titles_3_1_1">#REF!</definedName>
    <definedName name="Excel_BuiltIn_Print_Titles_3_2">"$#BAŞV!.#BAŞV!#BAŞV!"</definedName>
    <definedName name="Excel_BuiltIn_Print_Titles_4">#REF!</definedName>
    <definedName name="Excel_BuiltIn_Print_Titles_5">#REF!</definedName>
    <definedName name="Excel_BuiltIn_Print_Titles_6">"$#REF!.$A$4:$IV$4"</definedName>
    <definedName name="Excel_BuiltIn_Print_Titles_7">"$#REF!.$A$1:$IV$4"</definedName>
    <definedName name="Excel_BuiltIn_Print_Titles_8">"$#REF!.$A$1:$IV$4"</definedName>
    <definedName name="Excel_BuiltIn_Print_Titles_9">"$#REF!.$A$1:$IV$4"</definedName>
    <definedName name="Faktor_Server">#N/A</definedName>
    <definedName name="Faktor_Server_1">#N/A</definedName>
    <definedName name="Faktor_Server_2">#N/A</definedName>
    <definedName name="__FDW3">NA()</definedName>
    <definedName name="FDW3_1">NA()</definedName>
    <definedName name="FDW3_2">#N/A</definedName>
    <definedName name="FF">#N/A</definedName>
    <definedName name="FF_1">#N/A</definedName>
    <definedName name="FF_1_1">#REF!</definedName>
    <definedName name="FF_1_1_1">#N/A</definedName>
    <definedName name="FF_1_1_1_1">#N/A</definedName>
    <definedName name="FF_1_1_1_1_1">#N/A</definedName>
    <definedName name="FF_1_1_1_1_1_1">#N/A</definedName>
    <definedName name="FF_1_1_1_2">#N/A</definedName>
    <definedName name="FF_1_1_2">#N/A</definedName>
    <definedName name="FF_1_2">#N/A</definedName>
    <definedName name="FF_1_2_1">#N/A</definedName>
    <definedName name="FF_1_2_2">#N/A</definedName>
    <definedName name="FF_1_3">#N/A</definedName>
    <definedName name="FF_1_3_1">#N/A</definedName>
    <definedName name="FF_1_3_2">#N/A</definedName>
    <definedName name="FF_1_4">#N/A</definedName>
    <definedName name="FF_1_4_1">#N/A</definedName>
    <definedName name="FF_1_4_2">#N/A</definedName>
    <definedName name="FF_1_5">#N/A</definedName>
    <definedName name="FF_1_5_1">#N/A</definedName>
    <definedName name="FF_1_5_2">#N/A</definedName>
    <definedName name="FF_1_6">#N/A</definedName>
    <definedName name="FF_1_6_1">#N/A</definedName>
    <definedName name="FF_1_6_2">#N/A</definedName>
    <definedName name="FF_1_7">#N/A</definedName>
    <definedName name="FF_1_7_1">#N/A</definedName>
    <definedName name="FF_1_7_2">#N/A</definedName>
    <definedName name="FF_2">#N/A</definedName>
    <definedName name="FF_2_1">#N/A</definedName>
    <definedName name="FF_2_1_1">#N/A</definedName>
    <definedName name="FF_2_2">#N/A</definedName>
    <definedName name="FF_3">#N/A</definedName>
    <definedName name="FF_3_1">#N/A</definedName>
    <definedName name="FF_3_2">#N/A</definedName>
    <definedName name="FF_4">#N/A</definedName>
    <definedName name="FF_4_1">#N/A</definedName>
    <definedName name="FF_4_2">#N/A</definedName>
    <definedName name="FF_5">#N/A</definedName>
    <definedName name="FF_5_1">#N/A</definedName>
    <definedName name="FF_5_2">#N/A</definedName>
    <definedName name="FF_6">#N/A</definedName>
    <definedName name="FF_6_1">#N/A</definedName>
    <definedName name="FF_6_2">#N/A</definedName>
    <definedName name="FF_7">#N/A</definedName>
    <definedName name="FF_7_1">#N/A</definedName>
    <definedName name="FF_7_2">#N/A</definedName>
    <definedName name="FFK">#N/A</definedName>
    <definedName name="FFK_1">#N/A</definedName>
    <definedName name="FFK_1_1">#N/A</definedName>
    <definedName name="FFK_1_1_1">#N/A</definedName>
    <definedName name="FFK_1_1_1_1">#N/A</definedName>
    <definedName name="FFK_1_1_1_1_1">#N/A</definedName>
    <definedName name="FFK_1_1_2">#N/A</definedName>
    <definedName name="FFK_1_2">#N/A</definedName>
    <definedName name="FFK_1_2_1">#N/A</definedName>
    <definedName name="FFK_1_2_1_1">#N/A</definedName>
    <definedName name="FFK_1_2_2">#N/A</definedName>
    <definedName name="FFK_1_3">#N/A</definedName>
    <definedName name="FFK_1_3_1">#N/A</definedName>
    <definedName name="FFK_1_3_2">#N/A</definedName>
    <definedName name="FFK_1_4">#N/A</definedName>
    <definedName name="FFK_1_4_1">#N/A</definedName>
    <definedName name="FFK_1_4_2">#N/A</definedName>
    <definedName name="FFK_1_5">#N/A</definedName>
    <definedName name="FFK_1_5_1">#N/A</definedName>
    <definedName name="FFK_1_5_2">#N/A</definedName>
    <definedName name="FFK_1_6">#N/A</definedName>
    <definedName name="FFK_1_6_1">#N/A</definedName>
    <definedName name="FFK_1_6_2">#N/A</definedName>
    <definedName name="FFK_1_7">#N/A</definedName>
    <definedName name="FFK_1_7_1">#N/A</definedName>
    <definedName name="FFK_1_7_2">#N/A</definedName>
    <definedName name="FFK_2">#N/A</definedName>
    <definedName name="FFK_2_1">#N/A</definedName>
    <definedName name="FFK_2_1_1">#N/A</definedName>
    <definedName name="FFK_2_2">#N/A</definedName>
    <definedName name="FFK_3">#N/A</definedName>
    <definedName name="FFK_3_1">#N/A</definedName>
    <definedName name="FFK_3_2">#N/A</definedName>
    <definedName name="FFK_4">#N/A</definedName>
    <definedName name="FFK_4_1">#N/A</definedName>
    <definedName name="FFK_4_2">#N/A</definedName>
    <definedName name="FFK_5">#N/A</definedName>
    <definedName name="FFK_5_1">#N/A</definedName>
    <definedName name="FFK_5_2">#N/A</definedName>
    <definedName name="FFK_6">#N/A</definedName>
    <definedName name="FFK_6_1">#N/A</definedName>
    <definedName name="FFK_6_2">#N/A</definedName>
    <definedName name="FFK_7">#N/A</definedName>
    <definedName name="FFK_7_1">#N/A</definedName>
    <definedName name="FFK_7_2">#N/A</definedName>
    <definedName name="FIRMA">[13]KATSAYI!$B$2</definedName>
    <definedName name="FIX">#N/A</definedName>
    <definedName name="FIX_1">#N/A</definedName>
    <definedName name="FIX_1_1">#N/A</definedName>
    <definedName name="FIX_1_1_1">#N/A</definedName>
    <definedName name="FIX_1_2">#N/A</definedName>
    <definedName name="FIX_2">#N/A</definedName>
    <definedName name="FIX_2_1">#N/A</definedName>
    <definedName name="FIX_2_1_1">#N/A</definedName>
    <definedName name="FIX_2_2">#N/A</definedName>
    <definedName name="FIX_3">#N/A</definedName>
    <definedName name="FIX_3_1">#N/A</definedName>
    <definedName name="FIX_3_2">#N/A</definedName>
    <definedName name="FIX_4">#N/A</definedName>
    <definedName name="FIX_4_1">#N/A</definedName>
    <definedName name="FIX_4_2">#N/A</definedName>
    <definedName name="FIX_5">#N/A</definedName>
    <definedName name="FIX_5_1">#N/A</definedName>
    <definedName name="FIX_5_2">#N/A</definedName>
    <definedName name="FIX_6">#N/A</definedName>
    <definedName name="FIX_6_1">#N/A</definedName>
    <definedName name="FIX_6_2">#N/A</definedName>
    <definedName name="FIX_7">#N/A</definedName>
    <definedName name="FIX_7_1">#N/A</definedName>
    <definedName name="FIX_7_2">#N/A</definedName>
    <definedName name="FLX">#N/A</definedName>
    <definedName name="FLX_1">#N/A</definedName>
    <definedName name="FLX_1_1">#N/A</definedName>
    <definedName name="FLX_1_1_1">#N/A</definedName>
    <definedName name="FLX_1_2">#N/A</definedName>
    <definedName name="FLX_2">#N/A</definedName>
    <definedName name="FLX_2_1">#N/A</definedName>
    <definedName name="FLX_2_1_1">#N/A</definedName>
    <definedName name="FLX_2_2">#N/A</definedName>
    <definedName name="FLX_3">#N/A</definedName>
    <definedName name="FLX_3_1">#N/A</definedName>
    <definedName name="FLX_3_2">#N/A</definedName>
    <definedName name="FLX_4">#N/A</definedName>
    <definedName name="FLX_4_1">#N/A</definedName>
    <definedName name="FLX_4_2">#N/A</definedName>
    <definedName name="FLX_5">#N/A</definedName>
    <definedName name="FLX_5_1">#N/A</definedName>
    <definedName name="FLX_5_2">#N/A</definedName>
    <definedName name="FLX_6">#N/A</definedName>
    <definedName name="FLX_6_1">#N/A</definedName>
    <definedName name="FLX_6_2">#N/A</definedName>
    <definedName name="FLX_7">#N/A</definedName>
    <definedName name="FLX_7_1">#N/A</definedName>
    <definedName name="FLX_7_2">#N/A</definedName>
    <definedName name="frako">'[14]Analiz-dec'!$B$98</definedName>
    <definedName name="frako_1">#REF!</definedName>
    <definedName name="__fyt2005">#N/A</definedName>
    <definedName name="GBP">#N/A</definedName>
    <definedName name="GBP_1">#N/A</definedName>
    <definedName name="GBP_1_1">NA()</definedName>
    <definedName name="GBP_1_1_1">NA()</definedName>
    <definedName name="GBP_1_2">#N/A</definedName>
    <definedName name="GBP_2">#N/A</definedName>
    <definedName name="GE">NA()</definedName>
    <definedName name="GE_1">NA()</definedName>
    <definedName name="GE_2">#N/A</definedName>
    <definedName name="GEN">#N/A</definedName>
    <definedName name="GEN_1">#N/A</definedName>
    <definedName name="GEN_1_1">#N/A</definedName>
    <definedName name="GEN_1_1_1">#N/A</definedName>
    <definedName name="GEN_1_1_1_1">#N/A</definedName>
    <definedName name="GEN_1_1_1_1_1">#N/A</definedName>
    <definedName name="GEN_1_1_2">#N/A</definedName>
    <definedName name="GEN_1_2">#N/A</definedName>
    <definedName name="GEN_1_2_1">#N/A</definedName>
    <definedName name="GEN_1_2_1_1">#N/A</definedName>
    <definedName name="GEN_1_2_2">#N/A</definedName>
    <definedName name="GEN_1_3">#N/A</definedName>
    <definedName name="GEN_1_3_1">#N/A</definedName>
    <definedName name="GEN_1_3_2">#N/A</definedName>
    <definedName name="GEN_1_4">#N/A</definedName>
    <definedName name="GEN_1_4_1">#N/A</definedName>
    <definedName name="GEN_1_4_2">#N/A</definedName>
    <definedName name="GEN_1_5">#N/A</definedName>
    <definedName name="GEN_1_5_1">#N/A</definedName>
    <definedName name="GEN_1_5_2">#N/A</definedName>
    <definedName name="GEN_1_6">#N/A</definedName>
    <definedName name="GEN_1_6_1">#N/A</definedName>
    <definedName name="GEN_1_6_2">#N/A</definedName>
    <definedName name="GEN_1_7">#N/A</definedName>
    <definedName name="GEN_1_7_1">#N/A</definedName>
    <definedName name="GEN_1_7_2">#N/A</definedName>
    <definedName name="GEN_2">#N/A</definedName>
    <definedName name="GEN_2_1">#N/A</definedName>
    <definedName name="GEN_2_1_1">#N/A</definedName>
    <definedName name="GEN_2_2">#N/A</definedName>
    <definedName name="GEN_3">#N/A</definedName>
    <definedName name="GEN_3_1">#N/A</definedName>
    <definedName name="GEN_3_2">#N/A</definedName>
    <definedName name="GEN_4">#N/A</definedName>
    <definedName name="GEN_4_1">#N/A</definedName>
    <definedName name="GEN_4_2">#N/A</definedName>
    <definedName name="GEN_5">#N/A</definedName>
    <definedName name="GEN_5_1">#N/A</definedName>
    <definedName name="GEN_5_2">#N/A</definedName>
    <definedName name="GEN_6">#N/A</definedName>
    <definedName name="GEN_6_1">#N/A</definedName>
    <definedName name="GEN_6_2">#N/A</definedName>
    <definedName name="GEN_7">#N/A</definedName>
    <definedName name="GEN_7_1">#N/A</definedName>
    <definedName name="GEN_7_2">#N/A</definedName>
    <definedName name="ggk">#N/A</definedName>
    <definedName name="ggk_1">#N/A</definedName>
    <definedName name="ggk_2">#N/A</definedName>
    <definedName name="Giriş_Kontrol">#N/A</definedName>
    <definedName name="Giriş_Kontrol_1">#N/A</definedName>
    <definedName name="Giriş_Kontrol_2">#N/A</definedName>
    <definedName name="gk">#N/A</definedName>
    <definedName name="gk_1">#N/A</definedName>
    <definedName name="gk_1_1">#REF!</definedName>
    <definedName name="gk_2">#N/A</definedName>
    <definedName name="gr">NA()</definedName>
    <definedName name="gr_1">NA()</definedName>
    <definedName name="gr_2">#N/A</definedName>
    <definedName name="H">#N/A</definedName>
    <definedName name="h___0">h___0</definedName>
    <definedName name="h___0_1">h___0_1</definedName>
    <definedName name="h___0_2">h___0_2</definedName>
    <definedName name="h___3">h___3</definedName>
    <definedName name="h___3_1">h___3_1</definedName>
    <definedName name="h___3_2">h___3_2</definedName>
    <definedName name="h___7">h___7</definedName>
    <definedName name="h___7_1">h___7_1</definedName>
    <definedName name="h___7_2">h___7_2</definedName>
    <definedName name="H_1">#N/A</definedName>
    <definedName name="H_2">#N/A</definedName>
    <definedName name="hç">NA()</definedName>
    <definedName name="hç_1">NA()</definedName>
    <definedName name="hç_1_1">NA()</definedName>
    <definedName name="hç_1_2">NA()</definedName>
    <definedName name="hç_1_3">NA()</definedName>
    <definedName name="hç_1_4">NA()</definedName>
    <definedName name="hç_1_5">NA()</definedName>
    <definedName name="hç_1_6">NA()</definedName>
    <definedName name="hç_1_7">NA()</definedName>
    <definedName name="hç_2">NA()</definedName>
    <definedName name="hç_3">NA()</definedName>
    <definedName name="hç_4">NA()</definedName>
    <definedName name="hç_5">NA()</definedName>
    <definedName name="hç_6">NA()</definedName>
    <definedName name="hç_7">NA()</definedName>
    <definedName name="hf">#N/A</definedName>
    <definedName name="hf_1">#N/A</definedName>
    <definedName name="hf_2">#N/A</definedName>
    <definedName name="HFL">#N/A</definedName>
    <definedName name="HFL_1">#N/A</definedName>
    <definedName name="HFL_1_1">#REF!</definedName>
    <definedName name="HFL_2">#N/A</definedName>
    <definedName name="hırsız">NA()</definedName>
    <definedName name="hırsız_1">NA()</definedName>
    <definedName name="hırsız_2">#N/A</definedName>
    <definedName name="HLN">#N/A</definedName>
    <definedName name="HLN_1">#N/A</definedName>
    <definedName name="HLN_2">#N/A</definedName>
    <definedName name="HNL">#N/A</definedName>
    <definedName name="HNL_1">#N/A</definedName>
    <definedName name="HNL_1_1">#N/A</definedName>
    <definedName name="HNL_1_1_1">#N/A</definedName>
    <definedName name="HNL_1_1_1_1">#N/A</definedName>
    <definedName name="HNL_1_1_1_1_1">#N/A</definedName>
    <definedName name="HNL_1_1_2">#N/A</definedName>
    <definedName name="HNL_1_2">#N/A</definedName>
    <definedName name="HNL_1_2_1">#N/A</definedName>
    <definedName name="HNL_1_2_1_1">#N/A</definedName>
    <definedName name="HNL_1_2_2">#N/A</definedName>
    <definedName name="HNL_1_3">#N/A</definedName>
    <definedName name="HNL_1_3_1">#N/A</definedName>
    <definedName name="HNL_1_3_2">#N/A</definedName>
    <definedName name="HNL_1_4">#N/A</definedName>
    <definedName name="HNL_1_4_1">#N/A</definedName>
    <definedName name="HNL_1_4_2">#N/A</definedName>
    <definedName name="HNL_1_5">#N/A</definedName>
    <definedName name="HNL_1_5_1">#N/A</definedName>
    <definedName name="HNL_1_5_2">#N/A</definedName>
    <definedName name="HNL_1_6">#N/A</definedName>
    <definedName name="HNL_1_6_1">#N/A</definedName>
    <definedName name="HNL_1_6_2">#N/A</definedName>
    <definedName name="HNL_1_7">#N/A</definedName>
    <definedName name="HNL_1_7_1">#N/A</definedName>
    <definedName name="HNL_1_7_2">#N/A</definedName>
    <definedName name="HNL_2">#N/A</definedName>
    <definedName name="HNL_2_1">#N/A</definedName>
    <definedName name="HNL_2_1_1">#N/A</definedName>
    <definedName name="HNL_2_2">#N/A</definedName>
    <definedName name="HNL_3">#N/A</definedName>
    <definedName name="HNL_3_1">#N/A</definedName>
    <definedName name="HNL_3_2">#N/A</definedName>
    <definedName name="HNL_4">#N/A</definedName>
    <definedName name="HNL_4_1">#N/A</definedName>
    <definedName name="HNL_4_2">#N/A</definedName>
    <definedName name="HNL_5">#N/A</definedName>
    <definedName name="HNL_5_1">#N/A</definedName>
    <definedName name="HNL_5_2">#N/A</definedName>
    <definedName name="HNL_6">#N/A</definedName>
    <definedName name="HNL_6_1">#N/A</definedName>
    <definedName name="HNL_6_2">#N/A</definedName>
    <definedName name="HNL_7">#N/A</definedName>
    <definedName name="HNL_7_1">#N/A</definedName>
    <definedName name="HNL_7_2">#N/A</definedName>
    <definedName name="ıf">#N/A</definedName>
    <definedName name="ıf_1">#N/A</definedName>
    <definedName name="ıf_2">#N/A</definedName>
    <definedName name="IL">#REF!</definedName>
    <definedName name="IL_1">#REF!</definedName>
    <definedName name="IL_2">"$#BAŞV!.#BAŞV!#BAŞV!"</definedName>
    <definedName name="ISCI">#REF!</definedName>
    <definedName name="ISCI_1">#REF!</definedName>
    <definedName name="ISCI_2">"$#BAŞV!.#BAŞV!#BAŞV!"</definedName>
    <definedName name="ITL">#N/A</definedName>
    <definedName name="ITL_1">#N/A</definedName>
    <definedName name="ITL_1_1">#REF!</definedName>
    <definedName name="ITL_2">#N/A</definedName>
    <definedName name="İ">#N/A</definedName>
    <definedName name="İ_1">#N/A</definedName>
    <definedName name="i_1_1">NA()</definedName>
    <definedName name="i_1_1_1">NA()</definedName>
    <definedName name="i_1_2">#N/A</definedName>
    <definedName name="İ_2">#N/A</definedName>
    <definedName name="iç">[15]Analiz!$F$66</definedName>
    <definedName name="iç_1">#REF!</definedName>
    <definedName name="İG1">#N/A</definedName>
    <definedName name="İG1_1">#N/A</definedName>
    <definedName name="İG1_2">#N/A</definedName>
    <definedName name="İG2">#N/A</definedName>
    <definedName name="İG2_1">#N/A</definedName>
    <definedName name="İG2_2">#N/A</definedName>
    <definedName name="İG3">#N/A</definedName>
    <definedName name="İG3_1">#N/A</definedName>
    <definedName name="İG3_2">#N/A</definedName>
    <definedName name="İG4">#N/A</definedName>
    <definedName name="İG4_1">#N/A</definedName>
    <definedName name="İG4_1_1">#N/A</definedName>
    <definedName name="İG4_1_1_1">#N/A</definedName>
    <definedName name="İG4_1_2">#N/A</definedName>
    <definedName name="İG4_2">#N/A</definedName>
    <definedName name="İG4_2_1">#N/A</definedName>
    <definedName name="İG4_2_1_1">#N/A</definedName>
    <definedName name="İG4_2_2">#N/A</definedName>
    <definedName name="İG4_3">#N/A</definedName>
    <definedName name="İG4_3_1">#N/A</definedName>
    <definedName name="İG4_3_2">#N/A</definedName>
    <definedName name="İG4_4">#N/A</definedName>
    <definedName name="İG4_4_1">#N/A</definedName>
    <definedName name="İG4_4_2">#N/A</definedName>
    <definedName name="İG4_5">#N/A</definedName>
    <definedName name="İG4_5_1">#N/A</definedName>
    <definedName name="İG4_5_2">#N/A</definedName>
    <definedName name="İG4_6">#N/A</definedName>
    <definedName name="İG4_6_1">#N/A</definedName>
    <definedName name="İG4_6_2">#N/A</definedName>
    <definedName name="İG4_7">#N/A</definedName>
    <definedName name="İG4_7_1">#N/A</definedName>
    <definedName name="İG4_7_2">#N/A</definedName>
    <definedName name="ik">#N/A</definedName>
    <definedName name="ik_1">#N/A</definedName>
    <definedName name="ik_1_1">#REF!</definedName>
    <definedName name="ik_2">#N/A</definedName>
    <definedName name="İKR1">#N/A</definedName>
    <definedName name="İKR1_1">#N/A</definedName>
    <definedName name="İKR1_2">#N/A</definedName>
    <definedName name="İKR2">#N/A</definedName>
    <definedName name="İKR2_1">#N/A</definedName>
    <definedName name="İKR2_2">#N/A</definedName>
    <definedName name="İKR3">#N/A</definedName>
    <definedName name="İKR3_1">#N/A</definedName>
    <definedName name="İKR3_2">#N/A</definedName>
    <definedName name="İKR4">#N/A</definedName>
    <definedName name="İKR4_1">#N/A</definedName>
    <definedName name="İKR4_2">#N/A</definedName>
    <definedName name="İKR5">#N/A</definedName>
    <definedName name="İKR5_1">#N/A</definedName>
    <definedName name="İKR5_2">#N/A</definedName>
    <definedName name="imalat">[16]imalat_icmal!$E$9:$I$107</definedName>
    <definedName name="imalat___0">[17]imalat_icmal!$E$9:$I$107</definedName>
    <definedName name="imalat___0_1">[17]imalat_icmal!$E$9:$I$107</definedName>
    <definedName name="imalat___0_2">#REF!</definedName>
    <definedName name="imalat_1">[16]imalat_icmal!$E$9:$I$107</definedName>
    <definedName name="imalat_2">#REF!</definedName>
    <definedName name="İŞC">NA()</definedName>
    <definedName name="İŞC_1">NA()</definedName>
    <definedName name="İŞC_2">#N/A</definedName>
    <definedName name="İŞÇ">NA()</definedName>
    <definedName name="İŞÇ_1">NA()</definedName>
    <definedName name="İŞÇ_2">#N/A</definedName>
    <definedName name="İŞÇGDRTOP">#N/A</definedName>
    <definedName name="İŞÇGDRTOP_1">#N/A</definedName>
    <definedName name="İŞÇGDRTOP_1_1">#N/A</definedName>
    <definedName name="İŞÇGDRTOP_1_1_1">#N/A</definedName>
    <definedName name="İŞÇGDRTOP_1_1_1_1">#N/A</definedName>
    <definedName name="İŞÇGDRTOP_1_1_1_1_1">#N/A</definedName>
    <definedName name="İŞÇGDRTOP_1_1_2">#N/A</definedName>
    <definedName name="İŞÇGDRTOP_1_2">#N/A</definedName>
    <definedName name="İŞÇGDRTOP_1_2_1">#N/A</definedName>
    <definedName name="İŞÇGDRTOP_1_2_1_1">#N/A</definedName>
    <definedName name="İŞÇGDRTOP_1_2_2">#N/A</definedName>
    <definedName name="İŞÇGDRTOP_1_3">#N/A</definedName>
    <definedName name="İŞÇGDRTOP_1_3_1">#N/A</definedName>
    <definedName name="İŞÇGDRTOP_1_3_2">#N/A</definedName>
    <definedName name="İŞÇGDRTOP_1_4">#N/A</definedName>
    <definedName name="İŞÇGDRTOP_1_4_1">#N/A</definedName>
    <definedName name="İŞÇGDRTOP_1_4_2">#N/A</definedName>
    <definedName name="İŞÇGDRTOP_1_5">#N/A</definedName>
    <definedName name="İŞÇGDRTOP_1_5_1">#N/A</definedName>
    <definedName name="İŞÇGDRTOP_1_5_2">#N/A</definedName>
    <definedName name="İŞÇGDRTOP_1_6">#N/A</definedName>
    <definedName name="İŞÇGDRTOP_1_6_1">#N/A</definedName>
    <definedName name="İŞÇGDRTOP_1_6_2">#N/A</definedName>
    <definedName name="İŞÇGDRTOP_1_7">#N/A</definedName>
    <definedName name="İŞÇGDRTOP_1_7_1">#N/A</definedName>
    <definedName name="İŞÇGDRTOP_1_7_2">#N/A</definedName>
    <definedName name="İŞÇGDRTOP_2">#N/A</definedName>
    <definedName name="İŞÇGDRTOP_2_1">#N/A</definedName>
    <definedName name="İŞÇGDRTOP_2_1_1">#N/A</definedName>
    <definedName name="İŞÇGDRTOP_2_2">#N/A</definedName>
    <definedName name="İŞÇGDRTOP_3">#N/A</definedName>
    <definedName name="İŞÇGDRTOP_3_1">#N/A</definedName>
    <definedName name="İŞÇGDRTOP_3_2">#N/A</definedName>
    <definedName name="İŞÇGDRTOP_4">#N/A</definedName>
    <definedName name="İŞÇGDRTOP_4_1">#N/A</definedName>
    <definedName name="İŞÇGDRTOP_4_2">#N/A</definedName>
    <definedName name="İŞÇGDRTOP_5">#N/A</definedName>
    <definedName name="İŞÇGDRTOP_5_1">#N/A</definedName>
    <definedName name="İŞÇGDRTOP_5_2">#N/A</definedName>
    <definedName name="İŞÇGDRTOP_6">#N/A</definedName>
    <definedName name="İŞÇGDRTOP_6_1">#N/A</definedName>
    <definedName name="İŞÇGDRTOP_6_2">#N/A</definedName>
    <definedName name="İŞÇGDRTOP_7">#N/A</definedName>
    <definedName name="İŞÇGDRTOP_7_1">#N/A</definedName>
    <definedName name="İŞÇGDRTOP_7_2">#N/A</definedName>
    <definedName name="İŞÇKARTOP">#N/A</definedName>
    <definedName name="İŞÇKARTOP_1">#N/A</definedName>
    <definedName name="İŞÇKARTOP_1_1">#N/A</definedName>
    <definedName name="İŞÇKARTOP_1_1_1">#N/A</definedName>
    <definedName name="İŞÇKARTOP_1_1_1_1">#N/A</definedName>
    <definedName name="İŞÇKARTOP_1_1_1_1_1">#N/A</definedName>
    <definedName name="İŞÇKARTOP_1_1_2">#N/A</definedName>
    <definedName name="İŞÇKARTOP_1_2">#N/A</definedName>
    <definedName name="İŞÇKARTOP_1_2_1">#N/A</definedName>
    <definedName name="İŞÇKARTOP_1_2_1_1">#N/A</definedName>
    <definedName name="İŞÇKARTOP_1_2_2">#N/A</definedName>
    <definedName name="İŞÇKARTOP_1_3">#N/A</definedName>
    <definedName name="İŞÇKARTOP_1_3_1">#N/A</definedName>
    <definedName name="İŞÇKARTOP_1_3_2">#N/A</definedName>
    <definedName name="İŞÇKARTOP_1_4">#N/A</definedName>
    <definedName name="İŞÇKARTOP_1_4_1">#N/A</definedName>
    <definedName name="İŞÇKARTOP_1_4_2">#N/A</definedName>
    <definedName name="İŞÇKARTOP_1_5">#N/A</definedName>
    <definedName name="İŞÇKARTOP_1_5_1">#N/A</definedName>
    <definedName name="İŞÇKARTOP_1_5_2">#N/A</definedName>
    <definedName name="İŞÇKARTOP_1_6">#N/A</definedName>
    <definedName name="İŞÇKARTOP_1_6_1">#N/A</definedName>
    <definedName name="İŞÇKARTOP_1_6_2">#N/A</definedName>
    <definedName name="İŞÇKARTOP_1_7">#N/A</definedName>
    <definedName name="İŞÇKARTOP_1_7_1">#N/A</definedName>
    <definedName name="İŞÇKARTOP_1_7_2">#N/A</definedName>
    <definedName name="İŞÇKARTOP_2">#N/A</definedName>
    <definedName name="İŞÇKARTOP_2_1">#N/A</definedName>
    <definedName name="İŞÇKARTOP_2_1_1">#N/A</definedName>
    <definedName name="İŞÇKARTOP_2_2">#N/A</definedName>
    <definedName name="İŞÇKARTOP_3">#N/A</definedName>
    <definedName name="İŞÇKARTOP_3_1">#N/A</definedName>
    <definedName name="İŞÇKARTOP_3_2">#N/A</definedName>
    <definedName name="İŞÇKARTOP_4">#N/A</definedName>
    <definedName name="İŞÇKARTOP_4_1">#N/A</definedName>
    <definedName name="İŞÇKARTOP_4_2">#N/A</definedName>
    <definedName name="İŞÇKARTOP_5">#N/A</definedName>
    <definedName name="İŞÇKARTOP_5_1">#N/A</definedName>
    <definedName name="İŞÇKARTOP_5_2">#N/A</definedName>
    <definedName name="İŞÇKARTOP_6">#N/A</definedName>
    <definedName name="İŞÇKARTOP_6_1">#N/A</definedName>
    <definedName name="İŞÇKARTOP_6_2">#N/A</definedName>
    <definedName name="İŞÇKARTOP_7">#N/A</definedName>
    <definedName name="İŞÇKARTOP_7_1">#N/A</definedName>
    <definedName name="İŞÇKARTOP_7_2">#N/A</definedName>
    <definedName name="İŞÇMALTOP">#N/A</definedName>
    <definedName name="İŞÇMALTOP_1">#N/A</definedName>
    <definedName name="İŞÇMALTOP_1_1">#N/A</definedName>
    <definedName name="İŞÇMALTOP_1_1_1">#N/A</definedName>
    <definedName name="İŞÇMALTOP_1_1_1_1">#N/A</definedName>
    <definedName name="İŞÇMALTOP_1_1_1_1_1">#N/A</definedName>
    <definedName name="İŞÇMALTOP_1_1_2">#N/A</definedName>
    <definedName name="İŞÇMALTOP_1_2">#N/A</definedName>
    <definedName name="İŞÇMALTOP_1_2_1">#N/A</definedName>
    <definedName name="İŞÇMALTOP_1_2_1_1">#N/A</definedName>
    <definedName name="İŞÇMALTOP_1_2_2">#N/A</definedName>
    <definedName name="İŞÇMALTOP_1_3">#N/A</definedName>
    <definedName name="İŞÇMALTOP_1_3_1">#N/A</definedName>
    <definedName name="İŞÇMALTOP_1_3_2">#N/A</definedName>
    <definedName name="İŞÇMALTOP_1_4">#N/A</definedName>
    <definedName name="İŞÇMALTOP_1_4_1">#N/A</definedName>
    <definedName name="İŞÇMALTOP_1_4_2">#N/A</definedName>
    <definedName name="İŞÇMALTOP_1_5">#N/A</definedName>
    <definedName name="İŞÇMALTOP_1_5_1">#N/A</definedName>
    <definedName name="İŞÇMALTOP_1_5_2">#N/A</definedName>
    <definedName name="İŞÇMALTOP_1_6">#N/A</definedName>
    <definedName name="İŞÇMALTOP_1_6_1">#N/A</definedName>
    <definedName name="İŞÇMALTOP_1_6_2">#N/A</definedName>
    <definedName name="İŞÇMALTOP_1_7">#N/A</definedName>
    <definedName name="İŞÇMALTOP_1_7_1">#N/A</definedName>
    <definedName name="İŞÇMALTOP_1_7_2">#N/A</definedName>
    <definedName name="İŞÇMALTOP_2">#N/A</definedName>
    <definedName name="İŞÇMALTOP_2_1">#N/A</definedName>
    <definedName name="İŞÇMALTOP_2_1_1">#N/A</definedName>
    <definedName name="İŞÇMALTOP_2_2">#N/A</definedName>
    <definedName name="İŞÇMALTOP_3">#N/A</definedName>
    <definedName name="İŞÇMALTOP_3_1">#N/A</definedName>
    <definedName name="İŞÇMALTOP_3_2">#N/A</definedName>
    <definedName name="İŞÇMALTOP_4">#N/A</definedName>
    <definedName name="İŞÇMALTOP_4_1">#N/A</definedName>
    <definedName name="İŞÇMALTOP_4_2">#N/A</definedName>
    <definedName name="İŞÇMALTOP_5">#N/A</definedName>
    <definedName name="İŞÇMALTOP_5_1">#N/A</definedName>
    <definedName name="İŞÇMALTOP_5_2">#N/A</definedName>
    <definedName name="İŞÇMALTOP_6">#N/A</definedName>
    <definedName name="İŞÇMALTOP_6_1">#N/A</definedName>
    <definedName name="İŞÇMALTOP_6_2">#N/A</definedName>
    <definedName name="İŞÇMALTOP_7">#N/A</definedName>
    <definedName name="İŞÇMALTOP_7_1">#N/A</definedName>
    <definedName name="İŞÇMALTOP_7_2">#N/A</definedName>
    <definedName name="İŞÇTOP">#N/A</definedName>
    <definedName name="İŞÇTOP_1">#N/A</definedName>
    <definedName name="İŞÇTOP_1_1">#N/A</definedName>
    <definedName name="İŞÇTOP_1_1_1">#N/A</definedName>
    <definedName name="İŞÇTOP_1_1_1_1">#N/A</definedName>
    <definedName name="İŞÇTOP_1_1_1_1_1">#N/A</definedName>
    <definedName name="İŞÇTOP_1_1_2">#N/A</definedName>
    <definedName name="İŞÇTOP_1_2">#N/A</definedName>
    <definedName name="İŞÇTOP_1_2_1">#N/A</definedName>
    <definedName name="İŞÇTOP_1_2_1_1">#N/A</definedName>
    <definedName name="İŞÇTOP_1_2_2">#N/A</definedName>
    <definedName name="İŞÇTOP_1_3">#N/A</definedName>
    <definedName name="İŞÇTOP_1_3_1">#N/A</definedName>
    <definedName name="İŞÇTOP_1_3_2">#N/A</definedName>
    <definedName name="İŞÇTOP_1_4">#N/A</definedName>
    <definedName name="İŞÇTOP_1_4_1">#N/A</definedName>
    <definedName name="İŞÇTOP_1_4_2">#N/A</definedName>
    <definedName name="İŞÇTOP_1_5">#N/A</definedName>
    <definedName name="İŞÇTOP_1_5_1">#N/A</definedName>
    <definedName name="İŞÇTOP_1_5_2">#N/A</definedName>
    <definedName name="İŞÇTOP_1_6">#N/A</definedName>
    <definedName name="İŞÇTOP_1_6_1">#N/A</definedName>
    <definedName name="İŞÇTOP_1_6_2">#N/A</definedName>
    <definedName name="İŞÇTOP_1_7">#N/A</definedName>
    <definedName name="İŞÇTOP_1_7_1">#N/A</definedName>
    <definedName name="İŞÇTOP_1_7_2">#N/A</definedName>
    <definedName name="İŞÇTOP_2">#N/A</definedName>
    <definedName name="İŞÇTOP_2_1">#N/A</definedName>
    <definedName name="İŞÇTOP_2_1_1">#N/A</definedName>
    <definedName name="İŞÇTOP_2_2">#N/A</definedName>
    <definedName name="İŞÇTOP_3">#N/A</definedName>
    <definedName name="İŞÇTOP_3_1">#N/A</definedName>
    <definedName name="İŞÇTOP_3_2">#N/A</definedName>
    <definedName name="İŞÇTOP_4">#N/A</definedName>
    <definedName name="İŞÇTOP_4_1">#N/A</definedName>
    <definedName name="İŞÇTOP_4_2">#N/A</definedName>
    <definedName name="İŞÇTOP_5">#N/A</definedName>
    <definedName name="İŞÇTOP_5_1">#N/A</definedName>
    <definedName name="İŞÇTOP_5_2">#N/A</definedName>
    <definedName name="İŞÇTOP_6">#N/A</definedName>
    <definedName name="İŞÇTOP_6_1">#N/A</definedName>
    <definedName name="İŞÇTOP_6_2">#N/A</definedName>
    <definedName name="İŞÇTOP_7">#N/A</definedName>
    <definedName name="İŞÇTOP_7_1">#N/A</definedName>
    <definedName name="İŞÇTOP_7_2">#N/A</definedName>
    <definedName name="İŞÇTOTAL">#N/A</definedName>
    <definedName name="İŞÇTOTAL_1">#N/A</definedName>
    <definedName name="İŞÇTOTAL_2">#N/A</definedName>
    <definedName name="İŞL">#N/A</definedName>
    <definedName name="İŞL_1">#N/A</definedName>
    <definedName name="İŞL_1_1">#N/A</definedName>
    <definedName name="İŞL_1_1_1">#N/A</definedName>
    <definedName name="İŞL_1_1_1_1">#N/A</definedName>
    <definedName name="İŞL_1_1_1_1_1">#N/A</definedName>
    <definedName name="İŞL_1_1_2">#N/A</definedName>
    <definedName name="İŞL_1_2">#N/A</definedName>
    <definedName name="İŞL_1_2_1">#N/A</definedName>
    <definedName name="İŞL_1_2_1_1">#N/A</definedName>
    <definedName name="İŞL_1_2_2">#N/A</definedName>
    <definedName name="İŞL_1_3">#N/A</definedName>
    <definedName name="İŞL_1_3_1">#N/A</definedName>
    <definedName name="İŞL_1_3_2">#N/A</definedName>
    <definedName name="İŞL_1_4">#N/A</definedName>
    <definedName name="İŞL_1_4_1">#N/A</definedName>
    <definedName name="İŞL_1_4_2">#N/A</definedName>
    <definedName name="İŞL_1_5">#N/A</definedName>
    <definedName name="İŞL_1_5_1">#N/A</definedName>
    <definedName name="İŞL_1_5_2">#N/A</definedName>
    <definedName name="İŞL_1_6">#N/A</definedName>
    <definedName name="İŞL_1_6_1">#N/A</definedName>
    <definedName name="İŞL_1_6_2">#N/A</definedName>
    <definedName name="İŞL_1_7">#N/A</definedName>
    <definedName name="İŞL_1_7_1">#N/A</definedName>
    <definedName name="İŞL_1_7_2">#N/A</definedName>
    <definedName name="İŞL_2">#N/A</definedName>
    <definedName name="İŞL_2_1">#N/A</definedName>
    <definedName name="İŞL_2_1_1">#N/A</definedName>
    <definedName name="İŞL_2_2">#N/A</definedName>
    <definedName name="İŞL_3">#N/A</definedName>
    <definedName name="İŞL_3_1">#N/A</definedName>
    <definedName name="İŞL_3_2">#N/A</definedName>
    <definedName name="İŞL_4">#N/A</definedName>
    <definedName name="İŞL_4_1">#N/A</definedName>
    <definedName name="İŞL_4_2">#N/A</definedName>
    <definedName name="İŞL_5">#N/A</definedName>
    <definedName name="İŞL_5_1">#N/A</definedName>
    <definedName name="İŞL_5_2">#N/A</definedName>
    <definedName name="İŞL_6">#N/A</definedName>
    <definedName name="İŞL_6_1">#N/A</definedName>
    <definedName name="İŞL_6_2">#N/A</definedName>
    <definedName name="İŞL_7">#N/A</definedName>
    <definedName name="İŞL_7_1">#N/A</definedName>
    <definedName name="İŞL_7_2">#N/A</definedName>
    <definedName name="j">NA()</definedName>
    <definedName name="j_1">NA()</definedName>
    <definedName name="j_1_1">NA()</definedName>
    <definedName name="j_1_2">NA()</definedName>
    <definedName name="j_1_3">NA()</definedName>
    <definedName name="j_1_4">NA()</definedName>
    <definedName name="j_1_5">NA()</definedName>
    <definedName name="j_1_6">NA()</definedName>
    <definedName name="j_1_7">NA()</definedName>
    <definedName name="j_2">NA()</definedName>
    <definedName name="j_3">NA()</definedName>
    <definedName name="j_4">NA()</definedName>
    <definedName name="j_5">NA()</definedName>
    <definedName name="j_6">NA()</definedName>
    <definedName name="j_7">NA()</definedName>
    <definedName name="JPY">#N/A</definedName>
    <definedName name="JPY_1">#N/A</definedName>
    <definedName name="JPY_1_1">#REF!</definedName>
    <definedName name="JPY_2">#N/A</definedName>
    <definedName name="JRHFHAKÇ">NA()</definedName>
    <definedName name="JRHFHAKÇ_1">NA()</definedName>
    <definedName name="JRHFHAKÇ_2">#N/A</definedName>
    <definedName name="K">#N/A</definedName>
    <definedName name="K_1">#N/A</definedName>
    <definedName name="k_1_1">NA()</definedName>
    <definedName name="k_1_1_1">NA()</definedName>
    <definedName name="k_1_1_1_1">NA()</definedName>
    <definedName name="k_1_1_1_1_1">NA()</definedName>
    <definedName name="k_1_1_2">#N/A</definedName>
    <definedName name="k_1_2">#N/A</definedName>
    <definedName name="K_2">#N/A</definedName>
    <definedName name="k_2_1">NA()</definedName>
    <definedName name="k_2_1_1">NA()</definedName>
    <definedName name="k_2_2">#N/A</definedName>
    <definedName name="k_3">#REF!</definedName>
    <definedName name="k_3_1">#REF!</definedName>
    <definedName name="k_3_2">"$#BAŞV!.#BAŞV!#BAŞV!"</definedName>
    <definedName name="ka">#N/A</definedName>
    <definedName name="ka_1">#N/A</definedName>
    <definedName name="ka_1_1">#N/A</definedName>
    <definedName name="ka_1_1_1">#N/A</definedName>
    <definedName name="ka_1_1_1_1">#N/A</definedName>
    <definedName name="ka_1_1_1_1_1">#N/A</definedName>
    <definedName name="ka_1_1_2">#N/A</definedName>
    <definedName name="ka_1_2">#N/A</definedName>
    <definedName name="ka_1_2_1">#N/A</definedName>
    <definedName name="ka_1_2_1_1">#N/A</definedName>
    <definedName name="ka_1_2_2">#N/A</definedName>
    <definedName name="ka_1_3">#N/A</definedName>
    <definedName name="ka_1_3_1">#N/A</definedName>
    <definedName name="ka_1_3_2">#N/A</definedName>
    <definedName name="ka_1_4">#N/A</definedName>
    <definedName name="ka_1_4_1">#N/A</definedName>
    <definedName name="ka_1_4_2">#N/A</definedName>
    <definedName name="ka_1_5">#N/A</definedName>
    <definedName name="ka_1_5_1">#N/A</definedName>
    <definedName name="ka_1_5_2">#N/A</definedName>
    <definedName name="ka_1_6">#N/A</definedName>
    <definedName name="ka_1_6_1">#N/A</definedName>
    <definedName name="ka_1_6_2">#N/A</definedName>
    <definedName name="ka_1_7">#N/A</definedName>
    <definedName name="ka_1_7_1">#N/A</definedName>
    <definedName name="ka_1_7_2">#N/A</definedName>
    <definedName name="ka_2">#N/A</definedName>
    <definedName name="ka_2_1">#N/A</definedName>
    <definedName name="ka_2_1_1">#N/A</definedName>
    <definedName name="ka_2_2">#N/A</definedName>
    <definedName name="ka_3">#N/A</definedName>
    <definedName name="ka_3_1">#N/A</definedName>
    <definedName name="ka_3_2">#N/A</definedName>
    <definedName name="ka_4">#N/A</definedName>
    <definedName name="ka_4_1">#N/A</definedName>
    <definedName name="ka_4_2">#N/A</definedName>
    <definedName name="ka_5">#N/A</definedName>
    <definedName name="ka_5_1">#N/A</definedName>
    <definedName name="ka_5_2">#N/A</definedName>
    <definedName name="ka_6">#N/A</definedName>
    <definedName name="ka_6_1">#N/A</definedName>
    <definedName name="ka_6_2">#N/A</definedName>
    <definedName name="ka_7">#N/A</definedName>
    <definedName name="ka_7_1">#N/A</definedName>
    <definedName name="ka_7_2">#N/A</definedName>
    <definedName name="kablo">NA()</definedName>
    <definedName name="kablo_1">NA()</definedName>
    <definedName name="kablo_2">#N/A</definedName>
    <definedName name="Kalk_Endg">#N/A</definedName>
    <definedName name="Kalk_Endg_1">#N/A</definedName>
    <definedName name="Kalk_Endg_2">#N/A</definedName>
    <definedName name="Kalk_IBS">#N/A</definedName>
    <definedName name="Kalk_IBS_1">#N/A</definedName>
    <definedName name="Kalk_IBS_2">#N/A</definedName>
    <definedName name="Kalk_Mo_Endg">#N/A</definedName>
    <definedName name="Kalk_Mo_Endg_1">#N/A</definedName>
    <definedName name="Kalk_Mo_Endg_2">#N/A</definedName>
    <definedName name="Kalk_Mo_Ltg">#N/A</definedName>
    <definedName name="Kalk_Mo_Ltg_1">#N/A</definedName>
    <definedName name="Kalk_Mo_Ltg_2">#N/A</definedName>
    <definedName name="Kalk_Mo_Sys_Serv">#N/A</definedName>
    <definedName name="Kalk_Mo_Sys_Serv_1">#N/A</definedName>
    <definedName name="Kalk_Mo_Sys_Serv_2">#N/A</definedName>
    <definedName name="Kalk_SONSTIGES">#N/A</definedName>
    <definedName name="Kalk_SONSTIGES_1">#N/A</definedName>
    <definedName name="Kalk_SONSTIGES_2">#N/A</definedName>
    <definedName name="Kalkulationsansatz_Inbetriebsetzung">#N/A</definedName>
    <definedName name="Kalkulationsansatz_Inbetriebsetzung_1">#N/A</definedName>
    <definedName name="Kalkulationsansatz_Inbetriebsetzung_2">#N/A</definedName>
    <definedName name="Kalkulationsansatz_Montage">#N/A</definedName>
    <definedName name="Kalkulationsansatz_Montage_1">#N/A</definedName>
    <definedName name="Kalkulationsansatz_Montage_2">#N/A</definedName>
    <definedName name="Kalkulationsansatz_SONSTIGES">#N/A</definedName>
    <definedName name="Kalkulationsansatz_SONSTIGES_1">#N/A</definedName>
    <definedName name="Kalkulationsansatz_SONSTIGES_2">#N/A</definedName>
    <definedName name="karargah">[18]Otomatik!#REF!</definedName>
    <definedName name="karargah_1">[18]Otomatik!#REF!</definedName>
    <definedName name="karargah_1_1">[18]Otomatik!#REF!</definedName>
    <definedName name="karargah_1_1_1">[18]Otomatik!#REF!</definedName>
    <definedName name="karargah_1_2">#REF!</definedName>
    <definedName name="karargah_2">#REF!</definedName>
    <definedName name="karargah_2_1">[18]Otomatik!#REF!</definedName>
    <definedName name="karargah_2_1_1">[18]Otomatik!#REF!</definedName>
    <definedName name="karargah_2_2">#REF!</definedName>
    <definedName name="karargah_3">#REF!</definedName>
    <definedName name="karargah_3_1">#REF!</definedName>
    <definedName name="KART">NA()</definedName>
    <definedName name="KART_1">NA()</definedName>
    <definedName name="KART_2">#N/A</definedName>
    <definedName name="KAT">NA()</definedName>
    <definedName name="KAT_1">NA()</definedName>
    <definedName name="KAT_2">#N/A</definedName>
    <definedName name="KATS">NA()</definedName>
    <definedName name="KATS_1">NA()</definedName>
    <definedName name="KATS_2">#N/A</definedName>
    <definedName name="KBA">#N/A</definedName>
    <definedName name="KBA_1">#N/A</definedName>
    <definedName name="KBA_1_1">#N/A</definedName>
    <definedName name="KBA_1_1_1">#N/A</definedName>
    <definedName name="KBA_1_1_1_1">#N/A</definedName>
    <definedName name="KBA_1_1_1_1_1">#N/A</definedName>
    <definedName name="KBA_1_1_2">#N/A</definedName>
    <definedName name="KBA_1_2">#N/A</definedName>
    <definedName name="KBA_1_2_1">#N/A</definedName>
    <definedName name="KBA_1_2_1_1">#N/A</definedName>
    <definedName name="KBA_1_2_2">#N/A</definedName>
    <definedName name="KBA_1_3">#N/A</definedName>
    <definedName name="KBA_1_3_1">#N/A</definedName>
    <definedName name="KBA_1_3_2">#N/A</definedName>
    <definedName name="KBA_1_4">#N/A</definedName>
    <definedName name="KBA_1_4_1">#N/A</definedName>
    <definedName name="KBA_1_4_2">#N/A</definedName>
    <definedName name="KBA_1_5">#N/A</definedName>
    <definedName name="KBA_1_5_1">#N/A</definedName>
    <definedName name="KBA_1_5_2">#N/A</definedName>
    <definedName name="KBA_1_6">#N/A</definedName>
    <definedName name="KBA_1_6_1">#N/A</definedName>
    <definedName name="KBA_1_6_2">#N/A</definedName>
    <definedName name="KBA_1_7">#N/A</definedName>
    <definedName name="KBA_1_7_1">#N/A</definedName>
    <definedName name="KBA_1_7_2">#N/A</definedName>
    <definedName name="KBA_2">#N/A</definedName>
    <definedName name="KBA_2_1">#N/A</definedName>
    <definedName name="KBA_2_1_1">#N/A</definedName>
    <definedName name="KBA_2_2">#N/A</definedName>
    <definedName name="KBA_3">#N/A</definedName>
    <definedName name="KBA_3_1">#N/A</definedName>
    <definedName name="KBA_3_2">#N/A</definedName>
    <definedName name="KBA_4">#N/A</definedName>
    <definedName name="KBA_4_1">#N/A</definedName>
    <definedName name="KBA_4_2">#N/A</definedName>
    <definedName name="KBA_5">#N/A</definedName>
    <definedName name="KBA_5_1">#N/A</definedName>
    <definedName name="KBA_5_2">#N/A</definedName>
    <definedName name="KBA_6">#N/A</definedName>
    <definedName name="KBA_6_1">#N/A</definedName>
    <definedName name="KBA_6_2">#N/A</definedName>
    <definedName name="KBA_7">#N/A</definedName>
    <definedName name="KBA_7_1">#N/A</definedName>
    <definedName name="KBA_7_2">#N/A</definedName>
    <definedName name="__KBA1">#N/A</definedName>
    <definedName name="KBA1_1">#N/A</definedName>
    <definedName name="KBA1_2">#N/A</definedName>
    <definedName name="__KBA2">#N/A</definedName>
    <definedName name="KBA2_1">#N/A</definedName>
    <definedName name="KBA2_2">#N/A</definedName>
    <definedName name="KESİF">#N/A</definedName>
    <definedName name="KESİF_1">#REF!</definedName>
    <definedName name="KESİF_2">"$#BAŞV!.#BAŞV!#BAŞV!"</definedName>
    <definedName name="kk">NA()</definedName>
    <definedName name="kk_1">NA()</definedName>
    <definedName name="kk_1_1">NA()</definedName>
    <definedName name="kk_1_2">NA()</definedName>
    <definedName name="kk_1_3">NA()</definedName>
    <definedName name="kk_1_4">NA()</definedName>
    <definedName name="kk_1_5">NA()</definedName>
    <definedName name="kk_1_6">NA()</definedName>
    <definedName name="kk_1_7">NA()</definedName>
    <definedName name="kk_2">NA()</definedName>
    <definedName name="kk_3">NA()</definedName>
    <definedName name="kk_4">NA()</definedName>
    <definedName name="kk_5">NA()</definedName>
    <definedName name="kk_6">NA()</definedName>
    <definedName name="kk_7">NA()</definedName>
    <definedName name="KOA">#N/A</definedName>
    <definedName name="KOA_1">#N/A</definedName>
    <definedName name="KOA_1_1">#N/A</definedName>
    <definedName name="KOA_1_1_1">#N/A</definedName>
    <definedName name="KOA_1_1_1_1">#N/A</definedName>
    <definedName name="KOA_1_1_1_1_1">#N/A</definedName>
    <definedName name="KOA_1_1_2">#N/A</definedName>
    <definedName name="KOA_1_2">#N/A</definedName>
    <definedName name="KOA_1_2_1">#N/A</definedName>
    <definedName name="KOA_1_2_1_1">#N/A</definedName>
    <definedName name="KOA_1_2_2">#N/A</definedName>
    <definedName name="KOA_1_3">#N/A</definedName>
    <definedName name="KOA_1_3_1">#N/A</definedName>
    <definedName name="KOA_1_3_2">#N/A</definedName>
    <definedName name="KOA_1_4">#N/A</definedName>
    <definedName name="KOA_1_4_1">#N/A</definedName>
    <definedName name="KOA_1_4_2">#N/A</definedName>
    <definedName name="KOA_1_5">#N/A</definedName>
    <definedName name="KOA_1_5_1">#N/A</definedName>
    <definedName name="KOA_1_5_2">#N/A</definedName>
    <definedName name="KOA_1_6">#N/A</definedName>
    <definedName name="KOA_1_6_1">#N/A</definedName>
    <definedName name="KOA_1_6_2">#N/A</definedName>
    <definedName name="KOA_1_7">#N/A</definedName>
    <definedName name="KOA_1_7_1">#N/A</definedName>
    <definedName name="KOA_1_7_2">#N/A</definedName>
    <definedName name="KOA_2">#N/A</definedName>
    <definedName name="KOA_2_1">#N/A</definedName>
    <definedName name="KOA_2_1_1">#N/A</definedName>
    <definedName name="KOA_2_2">#N/A</definedName>
    <definedName name="KOA_3">#N/A</definedName>
    <definedName name="KOA_3_1">#N/A</definedName>
    <definedName name="KOA_3_2">#N/A</definedName>
    <definedName name="KOA_4">#N/A</definedName>
    <definedName name="KOA_4_1">#N/A</definedName>
    <definedName name="KOA_4_2">#N/A</definedName>
    <definedName name="KOA_5">#N/A</definedName>
    <definedName name="KOA_5_1">#N/A</definedName>
    <definedName name="KOA_5_2">#N/A</definedName>
    <definedName name="KOA_6">#N/A</definedName>
    <definedName name="KOA_6_1">#N/A</definedName>
    <definedName name="KOA_6_2">#N/A</definedName>
    <definedName name="KOA_7">#N/A</definedName>
    <definedName name="KOA_7_1">#N/A</definedName>
    <definedName name="KOA_7_2">#N/A</definedName>
    <definedName name="KOMP">[13]KATSAYI!$D$21</definedName>
    <definedName name="__KR1">#N/A</definedName>
    <definedName name="KR1_1">#N/A</definedName>
    <definedName name="KR1_2">#N/A</definedName>
    <definedName name="__KR2">#N/A</definedName>
    <definedName name="KR2_1">#N/A</definedName>
    <definedName name="KR2_2">#N/A</definedName>
    <definedName name="__KR3">#N/A</definedName>
    <definedName name="KR3_1">#N/A</definedName>
    <definedName name="KR3_2">#N/A</definedName>
    <definedName name="__KR4">#N/A</definedName>
    <definedName name="KR4_1">#N/A</definedName>
    <definedName name="KR4_2">#N/A</definedName>
    <definedName name="__KR5">#N/A</definedName>
    <definedName name="KR5_1">#N/A</definedName>
    <definedName name="KR5_2">#N/A</definedName>
    <definedName name="L">#N/A</definedName>
    <definedName name="L_1">#N/A</definedName>
    <definedName name="L_2">#N/A</definedName>
    <definedName name="L2_REG">[19]Metraj!#REF!</definedName>
    <definedName name="L2_REG_1">[19]Metraj!#REF!</definedName>
    <definedName name="L2_REG_1_1">#REF!</definedName>
    <definedName name="L2_REG_2">[19]Metraj!#REF!</definedName>
    <definedName name="L2_REG_2_1">#REF!</definedName>
    <definedName name="L2_REG_2_1_1">#REF!</definedName>
    <definedName name="L2_REG_2_2">#REF!</definedName>
    <definedName name="L2_REG_3">#REF!</definedName>
    <definedName name="L2_REG_3_1">#REF!</definedName>
    <definedName name="Leistungsmerkmale">#N/A</definedName>
    <definedName name="Leistungsmerkmale_1">#N/A</definedName>
    <definedName name="Leistungsmerkmale_2">#N/A</definedName>
    <definedName name="_____LF1">#N/A</definedName>
    <definedName name="LF1_1">#N/A</definedName>
    <definedName name="LF1_1_1">#N/A</definedName>
    <definedName name="LF1_1_1_1">#N/A</definedName>
    <definedName name="LF1_1_1_1_1">#N/A</definedName>
    <definedName name="LF1_1_1_1_1_1">#N/A</definedName>
    <definedName name="LF1_1_1_2">#N/A</definedName>
    <definedName name="LF1_1_2">#N/A</definedName>
    <definedName name="LF1_1_2_1">#N/A</definedName>
    <definedName name="LF1_1_2_1_1">#N/A</definedName>
    <definedName name="LF1_1_2_2">#N/A</definedName>
    <definedName name="LF1_1_3">#N/A</definedName>
    <definedName name="LF1_1_3_1">#N/A</definedName>
    <definedName name="LF1_1_3_2">#N/A</definedName>
    <definedName name="LF1_1_4">#N/A</definedName>
    <definedName name="LF1_1_4_1">#N/A</definedName>
    <definedName name="LF1_1_4_2">#N/A</definedName>
    <definedName name="LF1_1_5">#N/A</definedName>
    <definedName name="LF1_1_5_1">#N/A</definedName>
    <definedName name="LF1_1_5_2">#N/A</definedName>
    <definedName name="LF1_1_6">#N/A</definedName>
    <definedName name="LF1_1_6_1">#N/A</definedName>
    <definedName name="LF1_1_6_2">#N/A</definedName>
    <definedName name="LF1_1_7">#N/A</definedName>
    <definedName name="LF1_1_7_1">#N/A</definedName>
    <definedName name="LF1_1_7_2">#N/A</definedName>
    <definedName name="LF1_2">#N/A</definedName>
    <definedName name="LF1_2_1">#N/A</definedName>
    <definedName name="LF1_2_1_1">#N/A</definedName>
    <definedName name="LF1_2_2">#N/A</definedName>
    <definedName name="LF1_3">#N/A</definedName>
    <definedName name="LF1_3_1">#N/A</definedName>
    <definedName name="LF1_3_2">#N/A</definedName>
    <definedName name="LF1_4">#N/A</definedName>
    <definedName name="LF1_4_1">#N/A</definedName>
    <definedName name="LF1_4_2">#N/A</definedName>
    <definedName name="LF1_5">#N/A</definedName>
    <definedName name="LF1_5_1">#N/A</definedName>
    <definedName name="LF1_5_2">#N/A</definedName>
    <definedName name="LF1_6">#N/A</definedName>
    <definedName name="LF1_6_1">#N/A</definedName>
    <definedName name="LF1_6_2">#N/A</definedName>
    <definedName name="LF1_7">#N/A</definedName>
    <definedName name="LF1_7_1">#N/A</definedName>
    <definedName name="LF1_7_2">#N/A</definedName>
    <definedName name="LİRA">NA()</definedName>
    <definedName name="LİRA_1">NA()</definedName>
    <definedName name="LİRA_2">#N/A</definedName>
    <definedName name="loran">#N/A</definedName>
    <definedName name="loran_1">#N/A</definedName>
    <definedName name="loran_1_1">#N/A</definedName>
    <definedName name="loran_1_1_1">#N/A</definedName>
    <definedName name="loran_1_2">#N/A</definedName>
    <definedName name="loran_2">#N/A</definedName>
    <definedName name="loran_2_1">#N/A</definedName>
    <definedName name="loran_2_1_1">#N/A</definedName>
    <definedName name="loran_2_2">#N/A</definedName>
    <definedName name="loran_3">#REF!</definedName>
    <definedName name="loran_3_1">#REF!</definedName>
    <definedName name="loran_3_2">"$#BAŞV!.#BAŞV!#BAŞV!"</definedName>
    <definedName name="m">#N/A</definedName>
    <definedName name="m_1">#N/A</definedName>
    <definedName name="m_1_1">#N/A</definedName>
    <definedName name="m_1_1_1">#N/A</definedName>
    <definedName name="m_1_1_1_1">#N/A</definedName>
    <definedName name="m_1_1_1_1_1">#N/A</definedName>
    <definedName name="m_1_1_2">#N/A</definedName>
    <definedName name="m_1_2">#N/A</definedName>
    <definedName name="m_1_2_1">#N/A</definedName>
    <definedName name="m_1_2_1_1">#N/A</definedName>
    <definedName name="m_1_2_2">#N/A</definedName>
    <definedName name="m_1_3">#N/A</definedName>
    <definedName name="m_1_3_1">#N/A</definedName>
    <definedName name="m_1_3_2">#N/A</definedName>
    <definedName name="m_1_4">#N/A</definedName>
    <definedName name="m_1_4_1">#N/A</definedName>
    <definedName name="m_1_4_2">#N/A</definedName>
    <definedName name="m_1_5">#N/A</definedName>
    <definedName name="m_1_5_1">#N/A</definedName>
    <definedName name="m_1_5_2">#N/A</definedName>
    <definedName name="m_1_6">#N/A</definedName>
    <definedName name="m_1_6_1">#N/A</definedName>
    <definedName name="m_1_6_2">#N/A</definedName>
    <definedName name="m_1_7">#N/A</definedName>
    <definedName name="m_1_7_1">#N/A</definedName>
    <definedName name="m_1_7_2">#N/A</definedName>
    <definedName name="m_2">#N/A</definedName>
    <definedName name="m_2_1">#N/A</definedName>
    <definedName name="m_2_1_1">#N/A</definedName>
    <definedName name="m_2_2">#N/A</definedName>
    <definedName name="m_3">#N/A</definedName>
    <definedName name="m_3_1">#N/A</definedName>
    <definedName name="m_3_2">#N/A</definedName>
    <definedName name="m_4">#N/A</definedName>
    <definedName name="m_4_1">#N/A</definedName>
    <definedName name="m_4_2">#N/A</definedName>
    <definedName name="m_5">#N/A</definedName>
    <definedName name="m_5_1">#N/A</definedName>
    <definedName name="m_5_2">#N/A</definedName>
    <definedName name="m_6">#N/A</definedName>
    <definedName name="m_6_1">#N/A</definedName>
    <definedName name="m_6_2">#N/A</definedName>
    <definedName name="m_7">#N/A</definedName>
    <definedName name="m_7_1">#N/A</definedName>
    <definedName name="m_7_2">#N/A</definedName>
    <definedName name="Macro1">Macro1</definedName>
    <definedName name="Macro1___0">Macro1___0</definedName>
    <definedName name="Macro1___0_1">Macro1___0_1</definedName>
    <definedName name="Macro1___0_2">Macro1___0_2</definedName>
    <definedName name="Macro1___3">Macro1___3</definedName>
    <definedName name="Macro1___3_1">Macro1___3_1</definedName>
    <definedName name="Macro1___3_2">Macro1___3_2</definedName>
    <definedName name="Macro1___7">Macro1___7</definedName>
    <definedName name="Macro1___7_1">Macro1___7_1</definedName>
    <definedName name="Macro1___7_2">Macro1___7_2</definedName>
    <definedName name="Macro1_1">Macro1_1</definedName>
    <definedName name="Macro1_2">Macro1_2</definedName>
    <definedName name="MAL">#N/A</definedName>
    <definedName name="MAL_1">#N/A</definedName>
    <definedName name="MAL_1_1">#N/A</definedName>
    <definedName name="MAL_1_1_1">#N/A</definedName>
    <definedName name="MAL_1_1_1_1">#N/A</definedName>
    <definedName name="MAL_1_1_1_1_1">#N/A</definedName>
    <definedName name="MAL_1_1_2">#N/A</definedName>
    <definedName name="MAL_1_2">#N/A</definedName>
    <definedName name="MAL_1_2_1">#N/A</definedName>
    <definedName name="MAL_1_2_1_1">#N/A</definedName>
    <definedName name="MAL_1_2_2">#N/A</definedName>
    <definedName name="MAL_1_3">#N/A</definedName>
    <definedName name="MAL_1_3_1">#N/A</definedName>
    <definedName name="MAL_1_3_2">#N/A</definedName>
    <definedName name="MAL_1_4">#N/A</definedName>
    <definedName name="MAL_1_4_1">#N/A</definedName>
    <definedName name="MAL_1_4_2">#N/A</definedName>
    <definedName name="MAL_1_5">#N/A</definedName>
    <definedName name="MAL_1_5_1">#N/A</definedName>
    <definedName name="MAL_1_5_2">#N/A</definedName>
    <definedName name="MAL_1_6">#N/A</definedName>
    <definedName name="MAL_1_6_1">#N/A</definedName>
    <definedName name="MAL_1_6_2">#N/A</definedName>
    <definedName name="MAL_1_7">#N/A</definedName>
    <definedName name="MAL_1_7_1">#N/A</definedName>
    <definedName name="MAL_1_7_2">#N/A</definedName>
    <definedName name="MAL_2">#N/A</definedName>
    <definedName name="MAL_2_1">#N/A</definedName>
    <definedName name="MAL_2_1_1">#N/A</definedName>
    <definedName name="MAL_2_2">#N/A</definedName>
    <definedName name="MAL_3">#N/A</definedName>
    <definedName name="MAL_3_1">#N/A</definedName>
    <definedName name="MAL_3_2">#N/A</definedName>
    <definedName name="MAL_4">#N/A</definedName>
    <definedName name="MAL_4_1">#N/A</definedName>
    <definedName name="MAL_4_2">#N/A</definedName>
    <definedName name="MAL_5">#N/A</definedName>
    <definedName name="MAL_5_1">#N/A</definedName>
    <definedName name="MAL_5_2">#N/A</definedName>
    <definedName name="MAL_6">#N/A</definedName>
    <definedName name="MAL_6_1">#N/A</definedName>
    <definedName name="MAL_6_2">#N/A</definedName>
    <definedName name="MAL_7">#N/A</definedName>
    <definedName name="MAL_7_1">#N/A</definedName>
    <definedName name="MAL_7_2">#N/A</definedName>
    <definedName name="malmon">NA()</definedName>
    <definedName name="malmon_1">NA()</definedName>
    <definedName name="malmon_2">#N/A</definedName>
    <definedName name="MALZ">#N/A</definedName>
    <definedName name="MALZ_1">#N/A</definedName>
    <definedName name="MALZ_1_1">NA()</definedName>
    <definedName name="MALZ_1_1_1">NA()</definedName>
    <definedName name="MALZ_1_1_1_1">#N/A</definedName>
    <definedName name="MALZ_1_1_1_1_1">#N/A</definedName>
    <definedName name="MALZ_1_1_1_1_1_1">#N/A</definedName>
    <definedName name="MALZ_1_1_1_1_1_1_1">#N/A</definedName>
    <definedName name="MALZ_1_1_1_2">#N/A</definedName>
    <definedName name="MALZ_1_1_2">#N/A</definedName>
    <definedName name="MALZ_1_2">#N/A</definedName>
    <definedName name="MALZ_1_2_1">#N/A</definedName>
    <definedName name="MALZ_1_2_1_1">#N/A</definedName>
    <definedName name="MALZ_1_2_2">#N/A</definedName>
    <definedName name="MALZ_1_3">#N/A</definedName>
    <definedName name="MALZ_1_3_1">#N/A</definedName>
    <definedName name="MALZ_1_3_2">#N/A</definedName>
    <definedName name="MALZ_1_4">#N/A</definedName>
    <definedName name="MALZ_1_4_1">#N/A</definedName>
    <definedName name="MALZ_1_4_2">#N/A</definedName>
    <definedName name="MALZ_1_5">#N/A</definedName>
    <definedName name="MALZ_1_5_1">#N/A</definedName>
    <definedName name="MALZ_1_5_2">#N/A</definedName>
    <definedName name="MALZ_1_6">#N/A</definedName>
    <definedName name="MALZ_1_6_1">#N/A</definedName>
    <definedName name="MALZ_1_6_2">#N/A</definedName>
    <definedName name="MALZ_1_7">#N/A</definedName>
    <definedName name="MALZ_1_7_1">#N/A</definedName>
    <definedName name="MALZ_1_7_2">#N/A</definedName>
    <definedName name="MALZ_2">#N/A</definedName>
    <definedName name="MALZ_2_1">#N/A</definedName>
    <definedName name="MALZ_2_1_1">#N/A</definedName>
    <definedName name="MALZ_2_2">#N/A</definedName>
    <definedName name="MALZ_3">#N/A</definedName>
    <definedName name="MALZ_3_1">#N/A</definedName>
    <definedName name="MALZ_3_2">#N/A</definedName>
    <definedName name="MALZ_4">#N/A</definedName>
    <definedName name="MALZ_4_1">#N/A</definedName>
    <definedName name="MALZ_4_2">#N/A</definedName>
    <definedName name="MALZ_5">#N/A</definedName>
    <definedName name="MALZ_5_1">#N/A</definedName>
    <definedName name="MALZ_5_2">#N/A</definedName>
    <definedName name="MALZ_6">#N/A</definedName>
    <definedName name="MALZ_6_1">#N/A</definedName>
    <definedName name="MALZ_6_2">#N/A</definedName>
    <definedName name="MALZ_7">#N/A</definedName>
    <definedName name="MALZ_7_1">#N/A</definedName>
    <definedName name="MALZ_7_2">#N/A</definedName>
    <definedName name="MALZ_TOP">#N/A</definedName>
    <definedName name="MALZ_TOP_1">#N/A</definedName>
    <definedName name="MALZ_TOP_1_1">#N/A</definedName>
    <definedName name="MALZ_TOP_1_1_1">#N/A</definedName>
    <definedName name="MALZ_TOP_1_1_1_1">#N/A</definedName>
    <definedName name="MALZ_TOP_1_1_1_1_1">#N/A</definedName>
    <definedName name="MALZ_TOP_1_1_2">#N/A</definedName>
    <definedName name="MALZ_TOP_1_2">#N/A</definedName>
    <definedName name="MALZ_TOP_1_2_1">#N/A</definedName>
    <definedName name="MALZ_TOP_1_2_1_1">#N/A</definedName>
    <definedName name="MALZ_TOP_1_2_2">#N/A</definedName>
    <definedName name="MALZ_TOP_1_3">#N/A</definedName>
    <definedName name="MALZ_TOP_1_3_1">#N/A</definedName>
    <definedName name="MALZ_TOP_1_3_2">#N/A</definedName>
    <definedName name="MALZ_TOP_1_4">#N/A</definedName>
    <definedName name="MALZ_TOP_1_4_1">#N/A</definedName>
    <definedName name="MALZ_TOP_1_4_2">#N/A</definedName>
    <definedName name="MALZ_TOP_1_5">#N/A</definedName>
    <definedName name="MALZ_TOP_1_5_1">#N/A</definedName>
    <definedName name="MALZ_TOP_1_5_2">#N/A</definedName>
    <definedName name="MALZ_TOP_1_6">#N/A</definedName>
    <definedName name="MALZ_TOP_1_6_1">#N/A</definedName>
    <definedName name="MALZ_TOP_1_6_2">#N/A</definedName>
    <definedName name="MALZ_TOP_1_7">#N/A</definedName>
    <definedName name="MALZ_TOP_1_7_1">#N/A</definedName>
    <definedName name="MALZ_TOP_1_7_2">#N/A</definedName>
    <definedName name="MALZ_TOP_2">#N/A</definedName>
    <definedName name="MALZ_TOP_2_1">#N/A</definedName>
    <definedName name="MALZ_TOP_2_1_1">#N/A</definedName>
    <definedName name="MALZ_TOP_2_2">#N/A</definedName>
    <definedName name="MALZ_TOP_3">#N/A</definedName>
    <definedName name="MALZ_TOP_3_1">#N/A</definedName>
    <definedName name="MALZ_TOP_3_2">#N/A</definedName>
    <definedName name="MALZ_TOP_4">#N/A</definedName>
    <definedName name="MALZ_TOP_4_1">#N/A</definedName>
    <definedName name="MALZ_TOP_4_2">#N/A</definedName>
    <definedName name="MALZ_TOP_5">#N/A</definedName>
    <definedName name="MALZ_TOP_5_1">#N/A</definedName>
    <definedName name="MALZ_TOP_5_2">#N/A</definedName>
    <definedName name="MALZ_TOP_6">#N/A</definedName>
    <definedName name="MALZ_TOP_6_1">#N/A</definedName>
    <definedName name="MALZ_TOP_6_2">#N/A</definedName>
    <definedName name="MALZ_TOP_7">#N/A</definedName>
    <definedName name="MALZ_TOP_7_1">#N/A</definedName>
    <definedName name="MALZ_TOP_7_2">#N/A</definedName>
    <definedName name="malzeme">[20]SAYFA2!#REF!</definedName>
    <definedName name="malzeme_1">[20]SAYFA2!#REF!</definedName>
    <definedName name="malzeme_1_1">[20]SAYFA2!#REF!</definedName>
    <definedName name="malzeme_1_1_1">[20]SAYFA2!#REF!</definedName>
    <definedName name="malzeme_1_1_1_1">[20]SAYFA2!#REF!</definedName>
    <definedName name="malzeme_1_1_1_1_1">[20]SAYFA2!#REF!</definedName>
    <definedName name="malzeme_1_1_2">#REF!</definedName>
    <definedName name="malzeme_1_2">#REF!</definedName>
    <definedName name="malzeme_1_2_1">[20]SAYFA2!#REF!</definedName>
    <definedName name="malzeme_1_2_1_1">[20]SAYFA2!#REF!</definedName>
    <definedName name="malzeme_1_2_2">#REF!</definedName>
    <definedName name="malzeme_1_3">[20]SAYFA2!#REF!</definedName>
    <definedName name="malzeme_1_3_1">[20]SAYFA2!#REF!</definedName>
    <definedName name="malzeme_1_3_2">#REF!</definedName>
    <definedName name="malzeme_1_4">[20]SAYFA2!#REF!</definedName>
    <definedName name="malzeme_1_4_1">[20]SAYFA2!#REF!</definedName>
    <definedName name="malzeme_1_4_2">#REF!</definedName>
    <definedName name="malzeme_1_5">[20]SAYFA2!#REF!</definedName>
    <definedName name="malzeme_1_5_1">[20]SAYFA2!#REF!</definedName>
    <definedName name="malzeme_1_5_2">#REF!</definedName>
    <definedName name="malzeme_1_6">[20]SAYFA2!#REF!</definedName>
    <definedName name="malzeme_1_6_1">[20]SAYFA2!#REF!</definedName>
    <definedName name="malzeme_1_6_2">#REF!</definedName>
    <definedName name="malzeme_1_7">[20]SAYFA2!#REF!</definedName>
    <definedName name="malzeme_1_7_1">[20]SAYFA2!#REF!</definedName>
    <definedName name="malzeme_1_7_2">#REF!</definedName>
    <definedName name="malzeme_2">#REF!</definedName>
    <definedName name="malzeme_2_1">[20]SAYFA2!#REF!</definedName>
    <definedName name="malzeme_2_1_1">[20]SAYFA2!#REF!</definedName>
    <definedName name="malzeme_2_2">#REF!</definedName>
    <definedName name="malzeme_3">[20]SAYFA2!#REF!</definedName>
    <definedName name="malzeme_3_1">[20]SAYFA2!#REF!</definedName>
    <definedName name="malzeme_3_2">#REF!</definedName>
    <definedName name="malzeme_4">[20]SAYFA2!#REF!</definedName>
    <definedName name="malzeme_4_1">[20]SAYFA2!#REF!</definedName>
    <definedName name="malzeme_4_2">#REF!</definedName>
    <definedName name="malzeme_5">[20]SAYFA2!#REF!</definedName>
    <definedName name="malzeme_5_1">[20]SAYFA2!#REF!</definedName>
    <definedName name="malzeme_5_2">#REF!</definedName>
    <definedName name="malzeme_6">[20]SAYFA2!#REF!</definedName>
    <definedName name="malzeme_6_1">[20]SAYFA2!#REF!</definedName>
    <definedName name="malzeme_6_2">#REF!</definedName>
    <definedName name="malzeme_7">[20]SAYFA2!#REF!</definedName>
    <definedName name="malzeme_7_1">[20]SAYFA2!#REF!</definedName>
    <definedName name="malzeme_7_2">#REF!</definedName>
    <definedName name="MALZTOP">#N/A</definedName>
    <definedName name="MALZTOP_1">#N/A</definedName>
    <definedName name="MALZTOP_1_1">#N/A</definedName>
    <definedName name="MALZTOP_1_1_1">#N/A</definedName>
    <definedName name="MALZTOP_1_1_1_1">#N/A</definedName>
    <definedName name="MALZTOP_1_1_1_1_1">#N/A</definedName>
    <definedName name="MALZTOP_1_1_2">#N/A</definedName>
    <definedName name="MALZTOP_1_2">#N/A</definedName>
    <definedName name="MALZTOP_1_2_1">#N/A</definedName>
    <definedName name="MALZTOP_1_2_1_1">#N/A</definedName>
    <definedName name="MALZTOP_1_2_2">#N/A</definedName>
    <definedName name="MALZTOP_1_3">#N/A</definedName>
    <definedName name="MALZTOP_1_3_1">#N/A</definedName>
    <definedName name="MALZTOP_1_3_2">#N/A</definedName>
    <definedName name="MALZTOP_1_4">#N/A</definedName>
    <definedName name="MALZTOP_1_4_1">#N/A</definedName>
    <definedName name="MALZTOP_1_4_2">#N/A</definedName>
    <definedName name="MALZTOP_1_5">#N/A</definedName>
    <definedName name="MALZTOP_1_5_1">#N/A</definedName>
    <definedName name="MALZTOP_1_5_2">#N/A</definedName>
    <definedName name="MALZTOP_1_6">#N/A</definedName>
    <definedName name="MALZTOP_1_6_1">#N/A</definedName>
    <definedName name="MALZTOP_1_6_2">#N/A</definedName>
    <definedName name="MALZTOP_1_7">#N/A</definedName>
    <definedName name="MALZTOP_1_7_1">#N/A</definedName>
    <definedName name="MALZTOP_1_7_2">#N/A</definedName>
    <definedName name="MALZTOP_2">#N/A</definedName>
    <definedName name="MALZTOP_2_1">#N/A</definedName>
    <definedName name="MALZTOP_2_1_1">#N/A</definedName>
    <definedName name="MALZTOP_2_2">#N/A</definedName>
    <definedName name="MALZTOP_3">#N/A</definedName>
    <definedName name="MALZTOP_3_1">#N/A</definedName>
    <definedName name="MALZTOP_3_2">#N/A</definedName>
    <definedName name="MALZTOP_4">#N/A</definedName>
    <definedName name="MALZTOP_4_1">#N/A</definedName>
    <definedName name="MALZTOP_4_2">#N/A</definedName>
    <definedName name="MALZTOP_5">#N/A</definedName>
    <definedName name="MALZTOP_5_1">#N/A</definedName>
    <definedName name="MALZTOP_5_2">#N/A</definedName>
    <definedName name="MALZTOP_6">#N/A</definedName>
    <definedName name="MALZTOP_6_1">#N/A</definedName>
    <definedName name="MALZTOP_6_2">#N/A</definedName>
    <definedName name="MALZTOP_7">#N/A</definedName>
    <definedName name="MALZTOP_7_1">#N/A</definedName>
    <definedName name="MALZTOP_7_2">#N/A</definedName>
    <definedName name="MALZTOTAL">#N/A</definedName>
    <definedName name="MALZTOTAL_1">#N/A</definedName>
    <definedName name="MALZTOTAL_2">#N/A</definedName>
    <definedName name="MAZL">#N/A</definedName>
    <definedName name="MAZL_1">#N/A</definedName>
    <definedName name="MAZL_1_1">#N/A</definedName>
    <definedName name="MAZL_1_1_1">#N/A</definedName>
    <definedName name="MAZL_1_1_1_1">#N/A</definedName>
    <definedName name="MAZL_1_1_1_1_1">#N/A</definedName>
    <definedName name="MAZL_1_1_2">#N/A</definedName>
    <definedName name="MAZL_1_2">#N/A</definedName>
    <definedName name="MAZL_1_2_1">#N/A</definedName>
    <definedName name="MAZL_1_2_1_1">#N/A</definedName>
    <definedName name="MAZL_1_2_2">#N/A</definedName>
    <definedName name="MAZL_1_3">#N/A</definedName>
    <definedName name="MAZL_1_3_1">#N/A</definedName>
    <definedName name="MAZL_1_3_2">#N/A</definedName>
    <definedName name="MAZL_1_4">#N/A</definedName>
    <definedName name="MAZL_1_4_1">#N/A</definedName>
    <definedName name="MAZL_1_4_2">#N/A</definedName>
    <definedName name="MAZL_1_5">#N/A</definedName>
    <definedName name="MAZL_1_5_1">#N/A</definedName>
    <definedName name="MAZL_1_5_2">#N/A</definedName>
    <definedName name="MAZL_1_6">#N/A</definedName>
    <definedName name="MAZL_1_6_1">#N/A</definedName>
    <definedName name="MAZL_1_6_2">#N/A</definedName>
    <definedName name="MAZL_1_7">#N/A</definedName>
    <definedName name="MAZL_1_7_1">#N/A</definedName>
    <definedName name="MAZL_1_7_2">#N/A</definedName>
    <definedName name="MAZL_2">#N/A</definedName>
    <definedName name="MAZL_2_1">#N/A</definedName>
    <definedName name="MAZL_2_1_1">#N/A</definedName>
    <definedName name="MAZL_2_2">#N/A</definedName>
    <definedName name="MAZL_3">#N/A</definedName>
    <definedName name="MAZL_3_1">#N/A</definedName>
    <definedName name="MAZL_3_2">#N/A</definedName>
    <definedName name="MAZL_4">#N/A</definedName>
    <definedName name="MAZL_4_1">#N/A</definedName>
    <definedName name="MAZL_4_2">#N/A</definedName>
    <definedName name="MAZL_5">#N/A</definedName>
    <definedName name="MAZL_5_1">#N/A</definedName>
    <definedName name="MAZL_5_2">#N/A</definedName>
    <definedName name="MAZL_6">#N/A</definedName>
    <definedName name="MAZL_6_1">#N/A</definedName>
    <definedName name="MAZL_6_2">#N/A</definedName>
    <definedName name="MAZL_7">#N/A</definedName>
    <definedName name="MAZL_7_1">#N/A</definedName>
    <definedName name="MAZL_7_2">#N/A</definedName>
    <definedName name="me">[21]analiz!$C$83</definedName>
    <definedName name="me_1">#REF!</definedName>
    <definedName name="Menge">#N/A</definedName>
    <definedName name="Menge_1">#N/A</definedName>
    <definedName name="Menge_1_1">#N/A</definedName>
    <definedName name="Menge_1_1_1">#N/A</definedName>
    <definedName name="Menge_1_2">#N/A</definedName>
    <definedName name="Menge_2">#N/A</definedName>
    <definedName name="Menge_2_1">#N/A</definedName>
    <definedName name="Menge_2_1_1">#N/A</definedName>
    <definedName name="Menge_2_1_1_1">(#REF!,#REF!,#REF!)</definedName>
    <definedName name="Menge_2_1_1_1_1">(#REF!,#REF!,#REF!)</definedName>
    <definedName name="Menge_2_2">#N/A</definedName>
    <definedName name="Menge_2_3">("$#BAŞV!.#BAŞV!#BAŞV!~$#BAŞV!.#BAŞV!#BAŞV!~$#BAŞV!.#BAŞV!#BAŞV!)))")</definedName>
    <definedName name="Menge_3">("$#BAŞV!.#BAŞV!#BAŞV!~$#BAŞV!.$#BAŞV!$#BAŞV!~$#BAŞV!.#BAŞV!#BAŞV!)))")</definedName>
    <definedName name="Menge_3_1">(#REF!,#REF!,#REF!)</definedName>
    <definedName name="Menge_3_1_1">(#REF!,#REF!,#REF!)</definedName>
    <definedName name="Menge_3_2">("$#BAŞV!.#BAŞV!#BAŞV!~$#BAŞV!.#BAŞV!#BAŞV!~$#BAŞV!.#BAŞV!#BAŞV!)))")</definedName>
    <definedName name="MFFU">#N/A</definedName>
    <definedName name="MFFU_1">#N/A</definedName>
    <definedName name="MFFU_2">#N/A</definedName>
    <definedName name="MG">NA()</definedName>
    <definedName name="MG_1">NA()</definedName>
    <definedName name="MG_2">#N/A</definedName>
    <definedName name="__MG1">#N/A</definedName>
    <definedName name="MG1_1">#N/A</definedName>
    <definedName name="MG1_1_1">NA()</definedName>
    <definedName name="MG1_1_1_1">NA()</definedName>
    <definedName name="MG1_1_2">#N/A</definedName>
    <definedName name="MG1_2">#N/A</definedName>
    <definedName name="__MG2">#N/A</definedName>
    <definedName name="MG2_1">#N/A</definedName>
    <definedName name="MG2_2">#N/A</definedName>
    <definedName name="__MG3">#N/A</definedName>
    <definedName name="MG3_1">#N/A</definedName>
    <definedName name="MG3_2">#N/A</definedName>
    <definedName name="__MG4">#N/A</definedName>
    <definedName name="MG4_1">#N/A</definedName>
    <definedName name="MG4_1_1">#N/A</definedName>
    <definedName name="MG4_1_1_1">#N/A</definedName>
    <definedName name="MG4_1_2">#N/A</definedName>
    <definedName name="MG4_2">#N/A</definedName>
    <definedName name="MG4_2_1">#N/A</definedName>
    <definedName name="MG4_2_1_1">#N/A</definedName>
    <definedName name="MG4_2_2">#N/A</definedName>
    <definedName name="MG4_3">#N/A</definedName>
    <definedName name="MG4_3_1">#N/A</definedName>
    <definedName name="MG4_3_2">#N/A</definedName>
    <definedName name="MG4_4">#N/A</definedName>
    <definedName name="MG4_4_1">#N/A</definedName>
    <definedName name="MG4_4_2">#N/A</definedName>
    <definedName name="MG4_5">#N/A</definedName>
    <definedName name="MG4_5_1">#N/A</definedName>
    <definedName name="MG4_5_2">#N/A</definedName>
    <definedName name="MG4_6">#N/A</definedName>
    <definedName name="MG4_6_1">#N/A</definedName>
    <definedName name="MG4_6_2">#N/A</definedName>
    <definedName name="MG4_7">#N/A</definedName>
    <definedName name="MG4_7_1">#N/A</definedName>
    <definedName name="MG4_7_2">#N/A</definedName>
    <definedName name="MGDRTOP">#N/A</definedName>
    <definedName name="MGDRTOP_1">#N/A</definedName>
    <definedName name="MGDRTOP_1_1">#N/A</definedName>
    <definedName name="MGDRTOP_1_1_1">#N/A</definedName>
    <definedName name="MGDRTOP_1_1_1_1">#N/A</definedName>
    <definedName name="MGDRTOP_1_1_1_1_1">#N/A</definedName>
    <definedName name="MGDRTOP_1_1_2">#N/A</definedName>
    <definedName name="MGDRTOP_1_2">#N/A</definedName>
    <definedName name="MGDRTOP_1_2_1">#N/A</definedName>
    <definedName name="MGDRTOP_1_2_1_1">#N/A</definedName>
    <definedName name="MGDRTOP_1_2_2">#N/A</definedName>
    <definedName name="MGDRTOP_1_3">#N/A</definedName>
    <definedName name="MGDRTOP_1_3_1">#N/A</definedName>
    <definedName name="MGDRTOP_1_3_2">#N/A</definedName>
    <definedName name="MGDRTOP_1_4">#N/A</definedName>
    <definedName name="MGDRTOP_1_4_1">#N/A</definedName>
    <definedName name="MGDRTOP_1_4_2">#N/A</definedName>
    <definedName name="MGDRTOP_1_5">#N/A</definedName>
    <definedName name="MGDRTOP_1_5_1">#N/A</definedName>
    <definedName name="MGDRTOP_1_5_2">#N/A</definedName>
    <definedName name="MGDRTOP_1_6">#N/A</definedName>
    <definedName name="MGDRTOP_1_6_1">#N/A</definedName>
    <definedName name="MGDRTOP_1_6_2">#N/A</definedName>
    <definedName name="MGDRTOP_1_7">#N/A</definedName>
    <definedName name="MGDRTOP_1_7_1">#N/A</definedName>
    <definedName name="MGDRTOP_1_7_2">#N/A</definedName>
    <definedName name="MGDRTOP_2">#N/A</definedName>
    <definedName name="MGDRTOP_2_1">#N/A</definedName>
    <definedName name="MGDRTOP_2_1_1">#N/A</definedName>
    <definedName name="MGDRTOP_2_2">#N/A</definedName>
    <definedName name="MGDRTOP_3">#N/A</definedName>
    <definedName name="MGDRTOP_3_1">#N/A</definedName>
    <definedName name="MGDRTOP_3_2">#N/A</definedName>
    <definedName name="MGDRTOP_4">#N/A</definedName>
    <definedName name="MGDRTOP_4_1">#N/A</definedName>
    <definedName name="MGDRTOP_4_2">#N/A</definedName>
    <definedName name="MGDRTOP_5">#N/A</definedName>
    <definedName name="MGDRTOP_5_1">#N/A</definedName>
    <definedName name="MGDRTOP_5_2">#N/A</definedName>
    <definedName name="MGDRTOP_6">#N/A</definedName>
    <definedName name="MGDRTOP_6_1">#N/A</definedName>
    <definedName name="MGDRTOP_6_2">#N/A</definedName>
    <definedName name="MGDRTOP_7">#N/A</definedName>
    <definedName name="MGDRTOP_7_1">#N/A</definedName>
    <definedName name="MGDRTOP_7_2">#N/A</definedName>
    <definedName name="MGKTOP">#N/A</definedName>
    <definedName name="MGKTOP_1">#N/A</definedName>
    <definedName name="MGKTOP_1_1">#N/A</definedName>
    <definedName name="MGKTOP_1_1_1">#N/A</definedName>
    <definedName name="MGKTOP_1_1_1_1">#N/A</definedName>
    <definedName name="MGKTOP_1_1_1_1_1">#N/A</definedName>
    <definedName name="MGKTOP_1_1_2">#N/A</definedName>
    <definedName name="MGKTOP_1_2">#N/A</definedName>
    <definedName name="MGKTOP_1_2_1">#N/A</definedName>
    <definedName name="MGKTOP_1_2_1_1">#N/A</definedName>
    <definedName name="MGKTOP_1_2_2">#N/A</definedName>
    <definedName name="MGKTOP_1_3">#N/A</definedName>
    <definedName name="MGKTOP_1_3_1">#N/A</definedName>
    <definedName name="MGKTOP_1_3_2">#N/A</definedName>
    <definedName name="MGKTOP_1_4">#N/A</definedName>
    <definedName name="MGKTOP_1_4_1">#N/A</definedName>
    <definedName name="MGKTOP_1_4_2">#N/A</definedName>
    <definedName name="MGKTOP_1_5">#N/A</definedName>
    <definedName name="MGKTOP_1_5_1">#N/A</definedName>
    <definedName name="MGKTOP_1_5_2">#N/A</definedName>
    <definedName name="MGKTOP_1_6">#N/A</definedName>
    <definedName name="MGKTOP_1_6_1">#N/A</definedName>
    <definedName name="MGKTOP_1_6_2">#N/A</definedName>
    <definedName name="MGKTOP_1_7">#N/A</definedName>
    <definedName name="MGKTOP_1_7_1">#N/A</definedName>
    <definedName name="MGKTOP_1_7_2">#N/A</definedName>
    <definedName name="MGKTOP_2">#N/A</definedName>
    <definedName name="MGKTOP_2_1">#N/A</definedName>
    <definedName name="MGKTOP_2_1_1">#N/A</definedName>
    <definedName name="MGKTOP_2_2">#N/A</definedName>
    <definedName name="MGKTOP_3">#N/A</definedName>
    <definedName name="MGKTOP_3_1">#N/A</definedName>
    <definedName name="MGKTOP_3_2">#N/A</definedName>
    <definedName name="MGKTOP_4">#N/A</definedName>
    <definedName name="MGKTOP_4_1">#N/A</definedName>
    <definedName name="MGKTOP_4_2">#N/A</definedName>
    <definedName name="MGKTOP_5">#N/A</definedName>
    <definedName name="MGKTOP_5_1">#N/A</definedName>
    <definedName name="MGKTOP_5_2">#N/A</definedName>
    <definedName name="MGKTOP_6">#N/A</definedName>
    <definedName name="MGKTOP_6_1">#N/A</definedName>
    <definedName name="MGKTOP_6_2">#N/A</definedName>
    <definedName name="MGKTOP_7">#N/A</definedName>
    <definedName name="MGKTOP_7_1">#N/A</definedName>
    <definedName name="MGKTOP_7_2">#N/A</definedName>
    <definedName name="mk">#N/A</definedName>
    <definedName name="mk_1">#N/A</definedName>
    <definedName name="mk_1_1">#REF!</definedName>
    <definedName name="mk_2">#N/A</definedName>
    <definedName name="mlz">#N/A</definedName>
    <definedName name="mlz_1">#N/A</definedName>
    <definedName name="mlz_1_1">NA()</definedName>
    <definedName name="mlz_1_1_1">NA()</definedName>
    <definedName name="mlz_1_1_1_1">#N/A</definedName>
    <definedName name="mlz_1_1_1_1_1">#N/A</definedName>
    <definedName name="mlz_1_1_1_1_1_1">#N/A</definedName>
    <definedName name="mlz_1_1_1_1_1_1_1">#N/A</definedName>
    <definedName name="mlz_1_1_1_2">#N/A</definedName>
    <definedName name="mlz_1_1_2">#N/A</definedName>
    <definedName name="mlz_1_2">#N/A</definedName>
    <definedName name="mlz_1_2_1">#N/A</definedName>
    <definedName name="mlz_1_2_1_1">#N/A</definedName>
    <definedName name="mlz_1_2_2">#N/A</definedName>
    <definedName name="mlz_1_3">#N/A</definedName>
    <definedName name="mlz_1_3_1">#N/A</definedName>
    <definedName name="mlz_1_3_2">#N/A</definedName>
    <definedName name="mlz_1_4">#N/A</definedName>
    <definedName name="mlz_1_4_1">#N/A</definedName>
    <definedName name="mlz_1_4_2">#N/A</definedName>
    <definedName name="mlz_1_5">#N/A</definedName>
    <definedName name="mlz_1_5_1">#N/A</definedName>
    <definedName name="mlz_1_5_2">#N/A</definedName>
    <definedName name="mlz_1_6">#N/A</definedName>
    <definedName name="mlz_1_6_1">#N/A</definedName>
    <definedName name="mlz_1_6_2">#N/A</definedName>
    <definedName name="mlz_1_7">#N/A</definedName>
    <definedName name="mlz_1_7_1">#N/A</definedName>
    <definedName name="mlz_1_7_2">#N/A</definedName>
    <definedName name="mlz_2">#N/A</definedName>
    <definedName name="mlz_2_1">#N/A</definedName>
    <definedName name="mlz_2_1_1">#N/A</definedName>
    <definedName name="mlz_2_2">#N/A</definedName>
    <definedName name="mlz_3">#N/A</definedName>
    <definedName name="mlz_3_1">#N/A</definedName>
    <definedName name="mlz_3_2">#N/A</definedName>
    <definedName name="mlz_4">#N/A</definedName>
    <definedName name="mlz_4_1">#N/A</definedName>
    <definedName name="mlz_4_2">#N/A</definedName>
    <definedName name="mlz_5">#N/A</definedName>
    <definedName name="mlz_5_1">#N/A</definedName>
    <definedName name="mlz_5_2">#N/A</definedName>
    <definedName name="mlz_6">#N/A</definedName>
    <definedName name="mlz_6_1">#N/A</definedName>
    <definedName name="mlz_6_2">#N/A</definedName>
    <definedName name="mlz_7">#N/A</definedName>
    <definedName name="mlz_7_1">#N/A</definedName>
    <definedName name="mlz_7_2">#N/A</definedName>
    <definedName name="__MLZ1">#N/A</definedName>
    <definedName name="MLZ1_1">#N/A</definedName>
    <definedName name="MLZ1_1_1">#N/A</definedName>
    <definedName name="MLZ1_1_1_1">#N/A</definedName>
    <definedName name="MLZ1_1_1_1_1">#N/A</definedName>
    <definedName name="MLZ1_1_1_1_1_1">#N/A</definedName>
    <definedName name="MLZ1_1_1_2">#N/A</definedName>
    <definedName name="MLZ1_1_2">#N/A</definedName>
    <definedName name="MLZ1_1_2_1">#N/A</definedName>
    <definedName name="MLZ1_1_2_1_1">#N/A</definedName>
    <definedName name="MLZ1_1_2_2">#N/A</definedName>
    <definedName name="MLZ1_1_3">#N/A</definedName>
    <definedName name="MLZ1_1_3_1">#N/A</definedName>
    <definedName name="MLZ1_1_3_2">#N/A</definedName>
    <definedName name="MLZ1_1_4">#N/A</definedName>
    <definedName name="MLZ1_1_4_1">#N/A</definedName>
    <definedName name="MLZ1_1_4_2">#N/A</definedName>
    <definedName name="MLZ1_1_5">#N/A</definedName>
    <definedName name="MLZ1_1_5_1">#N/A</definedName>
    <definedName name="MLZ1_1_5_2">#N/A</definedName>
    <definedName name="MLZ1_1_6">#N/A</definedName>
    <definedName name="MLZ1_1_6_1">#N/A</definedName>
    <definedName name="MLZ1_1_6_2">#N/A</definedName>
    <definedName name="MLZ1_1_7">#N/A</definedName>
    <definedName name="MLZ1_1_7_1">#N/A</definedName>
    <definedName name="MLZ1_1_7_2">#N/A</definedName>
    <definedName name="MLZ1_2">#N/A</definedName>
    <definedName name="MLZ1_2_1">#N/A</definedName>
    <definedName name="MLZ1_2_1_1">#N/A</definedName>
    <definedName name="MLZ1_2_2">#N/A</definedName>
    <definedName name="MLZ1_3">#N/A</definedName>
    <definedName name="MLZ1_3_1">#N/A</definedName>
    <definedName name="MLZ1_3_2">#N/A</definedName>
    <definedName name="MLZ1_4">#N/A</definedName>
    <definedName name="MLZ1_4_1">#N/A</definedName>
    <definedName name="MLZ1_4_2">#N/A</definedName>
    <definedName name="MLZ1_5">#N/A</definedName>
    <definedName name="MLZ1_5_1">#N/A</definedName>
    <definedName name="MLZ1_5_2">#N/A</definedName>
    <definedName name="MLZ1_6">#N/A</definedName>
    <definedName name="MLZ1_6_1">#N/A</definedName>
    <definedName name="MLZ1_6_2">#N/A</definedName>
    <definedName name="MLZ1_7">#N/A</definedName>
    <definedName name="MLZ1_7_1">#N/A</definedName>
    <definedName name="MLZ1_7_2">#N/A</definedName>
    <definedName name="__mlz2">#N/A</definedName>
    <definedName name="mlz2_1">#N/A</definedName>
    <definedName name="mlz2_1_1">#N/A</definedName>
    <definedName name="mlz2_1_1_1">#N/A</definedName>
    <definedName name="mlz2_1_1_1_1">#N/A</definedName>
    <definedName name="mlz2_1_1_1_1_1">#N/A</definedName>
    <definedName name="mlz2_1_1_2">#N/A</definedName>
    <definedName name="mlz2_1_2">#N/A</definedName>
    <definedName name="mlz2_1_2_1">#N/A</definedName>
    <definedName name="mlz2_1_2_1_1">#N/A</definedName>
    <definedName name="mlz2_1_2_2">#N/A</definedName>
    <definedName name="mlz2_1_3">#N/A</definedName>
    <definedName name="mlz2_1_3_1">#N/A</definedName>
    <definedName name="mlz2_1_3_2">#N/A</definedName>
    <definedName name="mlz2_1_4">#N/A</definedName>
    <definedName name="mlz2_1_4_1">#N/A</definedName>
    <definedName name="mlz2_1_4_2">#N/A</definedName>
    <definedName name="mlz2_1_5">#N/A</definedName>
    <definedName name="mlz2_1_5_1">#N/A</definedName>
    <definedName name="mlz2_1_5_2">#N/A</definedName>
    <definedName name="mlz2_1_6">#N/A</definedName>
    <definedName name="mlz2_1_6_1">#N/A</definedName>
    <definedName name="mlz2_1_6_2">#N/A</definedName>
    <definedName name="mlz2_1_7">#N/A</definedName>
    <definedName name="mlz2_1_7_1">#N/A</definedName>
    <definedName name="mlz2_1_7_2">#N/A</definedName>
    <definedName name="mlz2_2">#N/A</definedName>
    <definedName name="mlz2_2_1">#N/A</definedName>
    <definedName name="mlz2_2_1_1">#N/A</definedName>
    <definedName name="mlz2_2_2">#N/A</definedName>
    <definedName name="mlz2_3">#N/A</definedName>
    <definedName name="mlz2_3_1">#N/A</definedName>
    <definedName name="mlz2_3_2">#N/A</definedName>
    <definedName name="mlz2_4">#N/A</definedName>
    <definedName name="mlz2_4_1">#N/A</definedName>
    <definedName name="mlz2_4_2">#N/A</definedName>
    <definedName name="mlz2_5">#N/A</definedName>
    <definedName name="mlz2_5_1">#N/A</definedName>
    <definedName name="mlz2_5_2">#N/A</definedName>
    <definedName name="mlz2_6">#N/A</definedName>
    <definedName name="mlz2_6_1">#N/A</definedName>
    <definedName name="mlz2_6_2">#N/A</definedName>
    <definedName name="mlz2_7">#N/A</definedName>
    <definedName name="mlz2_7_1">#N/A</definedName>
    <definedName name="mlz2_7_2">#N/A</definedName>
    <definedName name="mm">#N/A</definedName>
    <definedName name="mm_1">#N/A</definedName>
    <definedName name="mm_1_1">#N/A</definedName>
    <definedName name="mm_1_1_1">#N/A</definedName>
    <definedName name="mm_1_1_1_1">#N/A</definedName>
    <definedName name="mm_1_1_1_1_1">#N/A</definedName>
    <definedName name="mm_1_1_2">#N/A</definedName>
    <definedName name="mm_1_2">#N/A</definedName>
    <definedName name="mm_1_2_1">#N/A</definedName>
    <definedName name="mm_1_2_1_1">#N/A</definedName>
    <definedName name="mm_1_2_2">#N/A</definedName>
    <definedName name="mm_1_3">#N/A</definedName>
    <definedName name="mm_1_3_1">#N/A</definedName>
    <definedName name="mm_1_3_2">#N/A</definedName>
    <definedName name="mm_1_4">#N/A</definedName>
    <definedName name="mm_1_4_1">#N/A</definedName>
    <definedName name="mm_1_4_2">#N/A</definedName>
    <definedName name="mm_1_5">#N/A</definedName>
    <definedName name="mm_1_5_1">#N/A</definedName>
    <definedName name="mm_1_5_2">#N/A</definedName>
    <definedName name="mm_1_6">#N/A</definedName>
    <definedName name="mm_1_6_1">#N/A</definedName>
    <definedName name="mm_1_6_2">#N/A</definedName>
    <definedName name="mm_1_7">#N/A</definedName>
    <definedName name="mm_1_7_1">#N/A</definedName>
    <definedName name="mm_1_7_2">#N/A</definedName>
    <definedName name="mm_2">#N/A</definedName>
    <definedName name="mm_2_1">#N/A</definedName>
    <definedName name="mm_2_1_1">#N/A</definedName>
    <definedName name="mm_2_2">#N/A</definedName>
    <definedName name="mm_3">#N/A</definedName>
    <definedName name="mm_3_1">#N/A</definedName>
    <definedName name="mm_3_2">#N/A</definedName>
    <definedName name="mm_4">#N/A</definedName>
    <definedName name="mm_4_1">#N/A</definedName>
    <definedName name="mm_4_2">#N/A</definedName>
    <definedName name="mm_5">#N/A</definedName>
    <definedName name="mm_5_1">#N/A</definedName>
    <definedName name="mm_5_2">#N/A</definedName>
    <definedName name="mm_6">#N/A</definedName>
    <definedName name="mm_6_1">#N/A</definedName>
    <definedName name="mm_6_2">#N/A</definedName>
    <definedName name="mm_7">#N/A</definedName>
    <definedName name="mm_7_1">#N/A</definedName>
    <definedName name="mm_7_2">#N/A</definedName>
    <definedName name="MMM_MIGROS">#N/A</definedName>
    <definedName name="MMM_MIGROS_1">#N/A</definedName>
    <definedName name="MMM_MIGROS_1_1">#N/A</definedName>
    <definedName name="MMM_MIGROS_1_1_1">#N/A</definedName>
    <definedName name="MMM_MIGROS_1_1_1_1">#N/A</definedName>
    <definedName name="MMM_MIGROS_1_1_1_1_1">#N/A</definedName>
    <definedName name="MMM_MIGROS_1_1_1_1_1_1">#N/A</definedName>
    <definedName name="MMM_MIGROS_1_1_1_1_1_1_1">#N/A</definedName>
    <definedName name="MMM_MIGROS_1_1_1_1_1_1_1_1">#N/A</definedName>
    <definedName name="MMM_MIGROS_1_1_1_1_1_1_1_1_1">#N/A</definedName>
    <definedName name="MMM_MIGROS_1_1_1_1_2">#N/A</definedName>
    <definedName name="MMM_MIGROS_1_1_1_2">#N/A</definedName>
    <definedName name="MMM_MIGROS_1_1_2">#N/A</definedName>
    <definedName name="MMM_MIGROS_1_2">#N/A</definedName>
    <definedName name="MMM_MIGROS_1_2_1">#N/A</definedName>
    <definedName name="MMM_MIGROS_1_2_1_1">#N/A</definedName>
    <definedName name="MMM_MIGROS_1_2_2">#N/A</definedName>
    <definedName name="MMM_MIGROS_1_3">#N/A</definedName>
    <definedName name="MMM_MIGROS_1_3_1">#N/A</definedName>
    <definedName name="MMM_MIGROS_1_3_2">#N/A</definedName>
    <definedName name="MMM_MIGROS_1_4">#N/A</definedName>
    <definedName name="MMM_MIGROS_1_4_1">#N/A</definedName>
    <definedName name="MMM_MIGROS_1_4_2">#N/A</definedName>
    <definedName name="MMM_MIGROS_1_5">#N/A</definedName>
    <definedName name="MMM_MIGROS_1_5_1">#N/A</definedName>
    <definedName name="MMM_MIGROS_1_5_2">#N/A</definedName>
    <definedName name="MMM_MIGROS_1_6">#N/A</definedName>
    <definedName name="MMM_MIGROS_1_6_1">#N/A</definedName>
    <definedName name="MMM_MIGROS_1_6_2">#N/A</definedName>
    <definedName name="MMM_MIGROS_1_7">#N/A</definedName>
    <definedName name="MMM_MIGROS_1_7_1">#N/A</definedName>
    <definedName name="MMM_MIGROS_1_7_2">#N/A</definedName>
    <definedName name="MMM_MIGROS_2">#N/A</definedName>
    <definedName name="MMM_MIGROS_2_1">#N/A</definedName>
    <definedName name="MMM_MIGROS_2_1_1">#N/A</definedName>
    <definedName name="MMM_MIGROS_2_1_1_1">#N/A</definedName>
    <definedName name="MMM_MIGROS_2_1_1_1_1">#N/A</definedName>
    <definedName name="MMM_MIGROS_2_1_2">#N/A</definedName>
    <definedName name="MMM_MIGROS_2_2">#N/A</definedName>
    <definedName name="MMM_MIGROS_3">#N/A</definedName>
    <definedName name="MMM_MIGROS_3_1">#N/A</definedName>
    <definedName name="MMM_MIGROS_3_2">#N/A</definedName>
    <definedName name="MMM_MIGROS_4">#N/A</definedName>
    <definedName name="MMM_MIGROS_4_1">#N/A</definedName>
    <definedName name="MMM_MIGROS_4_2">#N/A</definedName>
    <definedName name="MMM_MIGROS_5">#N/A</definedName>
    <definedName name="MMM_MIGROS_5_1">#N/A</definedName>
    <definedName name="MMM_MIGROS_5_2">#N/A</definedName>
    <definedName name="MMM_MIGROS_6">#N/A</definedName>
    <definedName name="MMM_MIGROS_6_1">#N/A</definedName>
    <definedName name="MMM_MIGROS_6_2">#N/A</definedName>
    <definedName name="MMM_MIGROS_7">#N/A</definedName>
    <definedName name="MMM_MIGROS_7_1">#N/A</definedName>
    <definedName name="MMM_MIGROS_7_2">#N/A</definedName>
    <definedName name="mo">'[4]FRESHCAKE ELEK_ HAKEDİŞ'!#REF!</definedName>
    <definedName name="mo_1">'[4]FRESHCAKE ELEK_ HAKEDİŞ'!#REF!</definedName>
    <definedName name="mo_1_1">'[4]FRESHCAKE ELEK_ HAKEDİŞ'!#REF!</definedName>
    <definedName name="mo_1_2">'[4]FRESHCAKE ELEK_ HAKEDİŞ'!#REF!</definedName>
    <definedName name="mo_1_3">'[4]FRESHCAKE ELEK_ HAKEDİŞ'!#REF!</definedName>
    <definedName name="mo_1_4">'[4]FRESHCAKE ELEK_ HAKEDİŞ'!#REF!</definedName>
    <definedName name="mo_1_5">'[4]FRESHCAKE ELEK_ HAKEDİŞ'!#REF!</definedName>
    <definedName name="mo_1_6">'[4]FRESHCAKE ELEK_ HAKEDİŞ'!#REF!</definedName>
    <definedName name="mo_1_7">'[4]FRESHCAKE ELEK_ HAKEDİŞ'!#REF!</definedName>
    <definedName name="mo_2">'[4]FRESHCAKE ELEK_ HAKEDİŞ'!#REF!</definedName>
    <definedName name="mo_3">'[4]FRESHCAKE ELEK_ HAKEDİŞ'!#REF!</definedName>
    <definedName name="mo_4">'[4]FRESHCAKE ELEK_ HAKEDİŞ'!#REF!</definedName>
    <definedName name="mo_5">'[4]FRESHCAKE ELEK_ HAKEDİŞ'!#REF!</definedName>
    <definedName name="mo_6">'[4]FRESHCAKE ELEK_ HAKEDİŞ'!#REF!</definedName>
    <definedName name="mo_7">'[4]FRESHCAKE ELEK_ HAKEDİŞ'!#REF!</definedName>
    <definedName name="montaj">NA()</definedName>
    <definedName name="montaj_1">NA()</definedName>
    <definedName name="montaj_2">#N/A</definedName>
    <definedName name="MOTOR">NA()</definedName>
    <definedName name="MOTOR_1">NA()</definedName>
    <definedName name="MOTOR_2">#N/A</definedName>
    <definedName name="MPR">#N/A</definedName>
    <definedName name="MPR_1">#N/A</definedName>
    <definedName name="MPR_1_1">#N/A</definedName>
    <definedName name="MPR_1_1_1">#N/A</definedName>
    <definedName name="MPR_1_2">#N/A</definedName>
    <definedName name="MPR_2">#N/A</definedName>
    <definedName name="MPR_2_1">#N/A</definedName>
    <definedName name="MPR_2_1_1">#N/A</definedName>
    <definedName name="MPR_2_2">#N/A</definedName>
    <definedName name="MPR_3">#REF!</definedName>
    <definedName name="MPR_3_1">#REF!</definedName>
    <definedName name="MPR_3_2">"$#BAŞV!.#BAŞV!#BAŞV!"</definedName>
    <definedName name="MtGTOP">#N/A</definedName>
    <definedName name="MtGTOP_1">#N/A</definedName>
    <definedName name="MtGTOP_1_1">#N/A</definedName>
    <definedName name="MtGTOP_1_1_1">#N/A</definedName>
    <definedName name="MtGTOP_1_1_1_1">#N/A</definedName>
    <definedName name="MtGTOP_1_1_1_1_1">#N/A</definedName>
    <definedName name="MtGTOP_1_1_2">#N/A</definedName>
    <definedName name="MtGTOP_1_2">#N/A</definedName>
    <definedName name="MtGTOP_1_2_1">#N/A</definedName>
    <definedName name="MtGTOP_1_2_1_1">#N/A</definedName>
    <definedName name="MtGTOP_1_2_2">#N/A</definedName>
    <definedName name="MtGTOP_1_3">#N/A</definedName>
    <definedName name="MtGTOP_1_3_1">#N/A</definedName>
    <definedName name="MtGTOP_1_3_2">#N/A</definedName>
    <definedName name="MtGTOP_1_4">#N/A</definedName>
    <definedName name="MtGTOP_1_4_1">#N/A</definedName>
    <definedName name="MtGTOP_1_4_2">#N/A</definedName>
    <definedName name="MtGTOP_1_5">#N/A</definedName>
    <definedName name="MtGTOP_1_5_1">#N/A</definedName>
    <definedName name="MtGTOP_1_5_2">#N/A</definedName>
    <definedName name="MtGTOP_1_6">#N/A</definedName>
    <definedName name="MtGTOP_1_6_1">#N/A</definedName>
    <definedName name="MtGTOP_1_6_2">#N/A</definedName>
    <definedName name="MtGTOP_1_7">#N/A</definedName>
    <definedName name="MtGTOP_1_7_1">#N/A</definedName>
    <definedName name="MtGTOP_1_7_2">#N/A</definedName>
    <definedName name="MtGTOP_2">#N/A</definedName>
    <definedName name="MtGTOP_2_1">#N/A</definedName>
    <definedName name="MtGTOP_2_1_1">#N/A</definedName>
    <definedName name="MtGTOP_2_2">#N/A</definedName>
    <definedName name="MtGTOP_3">#N/A</definedName>
    <definedName name="MtGTOP_3_1">#N/A</definedName>
    <definedName name="MtGTOP_3_2">#N/A</definedName>
    <definedName name="MtGTOP_4">#N/A</definedName>
    <definedName name="MtGTOP_4_1">#N/A</definedName>
    <definedName name="MtGTOP_4_2">#N/A</definedName>
    <definedName name="MtGTOP_5">#N/A</definedName>
    <definedName name="MtGTOP_5_1">#N/A</definedName>
    <definedName name="MtGTOP_5_2">#N/A</definedName>
    <definedName name="MtGTOP_6">#N/A</definedName>
    <definedName name="MtGTOP_6_1">#N/A</definedName>
    <definedName name="MtGTOP_6_2">#N/A</definedName>
    <definedName name="MtGTOP_7">#N/A</definedName>
    <definedName name="MtGTOP_7_1">#N/A</definedName>
    <definedName name="MtGTOP_7_2">#N/A</definedName>
    <definedName name="n">NA()</definedName>
    <definedName name="n_1">NA()</definedName>
    <definedName name="n_2">#N/A</definedName>
    <definedName name="NAK">NA()</definedName>
    <definedName name="NAK_1">NA()</definedName>
    <definedName name="NAK_2">#N/A</definedName>
    <definedName name="og">NA()</definedName>
    <definedName name="og_1">NA()</definedName>
    <definedName name="og_1_1">NA()</definedName>
    <definedName name="og_1_2">NA()</definedName>
    <definedName name="og_1_3">NA()</definedName>
    <definedName name="og_1_4">NA()</definedName>
    <definedName name="og_1_5">NA()</definedName>
    <definedName name="og_1_6">NA()</definedName>
    <definedName name="og_1_7">NA()</definedName>
    <definedName name="og_2">NA()</definedName>
    <definedName name="og_3">NA()</definedName>
    <definedName name="og_4">NA()</definedName>
    <definedName name="og_5">NA()</definedName>
    <definedName name="og_6">NA()</definedName>
    <definedName name="og_7">NA()</definedName>
    <definedName name="OGK">#N/A</definedName>
    <definedName name="OGK_1">#N/A</definedName>
    <definedName name="OGK_2">#N/A</definedName>
    <definedName name="OGŞ">#N/A</definedName>
    <definedName name="OGŞ_1">#N/A</definedName>
    <definedName name="OGŞ_2">#N/A</definedName>
    <definedName name="onay">[16]mal_onay!$C$5:$U$400</definedName>
    <definedName name="onay___0">[17]mal_onay!$C$5:$U$400</definedName>
    <definedName name="onay___0_1">[17]mal_onay!$C$5:$U$400</definedName>
    <definedName name="onay___0_2">#REF!</definedName>
    <definedName name="onay_1">[16]mal_onay!$C$5:$U$400</definedName>
    <definedName name="onay_2">#REF!</definedName>
    <definedName name="oran">#N/A</definedName>
    <definedName name="oran_1">#N/A</definedName>
    <definedName name="oran_2">#N/A</definedName>
    <definedName name="oran1">#N/A</definedName>
    <definedName name="oran1_1">#N/A</definedName>
    <definedName name="oran1_2">#N/A</definedName>
    <definedName name="oran2">#N/A</definedName>
    <definedName name="oran2_1">#N/A</definedName>
    <definedName name="oran2_2">#N/A</definedName>
    <definedName name="oran3">#N/A</definedName>
    <definedName name="oran3_1">#N/A</definedName>
    <definedName name="oran3_2">#N/A</definedName>
    <definedName name="oran5">#N/A</definedName>
    <definedName name="oran5_1">#N/A</definedName>
    <definedName name="oran5_2">#N/A</definedName>
    <definedName name="oranA">#N/A</definedName>
    <definedName name="oranA_1">#N/A</definedName>
    <definedName name="oranA_2">#N/A</definedName>
    <definedName name="oranai">#N/A</definedName>
    <definedName name="oranai_1">#N/A</definedName>
    <definedName name="oranai_2">#N/A</definedName>
    <definedName name="ORTALAMA">#N/A</definedName>
    <definedName name="ORTALAMA_1">#N/A</definedName>
    <definedName name="ORTALAMA_2">#N/A</definedName>
    <definedName name="p">#N/A</definedName>
    <definedName name="p_1">#N/A</definedName>
    <definedName name="P_1_1">NA()</definedName>
    <definedName name="P_1_1_1">NA()</definedName>
    <definedName name="p_1_1_1_1">#N/A</definedName>
    <definedName name="p_1_1_1_1_1">#N/A</definedName>
    <definedName name="p_1_1_1_1_1_1">#N/A</definedName>
    <definedName name="p_1_1_1_1_1_1_1">#N/A</definedName>
    <definedName name="p_1_1_1_2">#N/A</definedName>
    <definedName name="p_1_1_2">#N/A</definedName>
    <definedName name="P_1_2">#N/A</definedName>
    <definedName name="p_1_2_1">#N/A</definedName>
    <definedName name="p_1_2_1_1">#N/A</definedName>
    <definedName name="p_1_2_2">#N/A</definedName>
    <definedName name="p_1_3">#N/A</definedName>
    <definedName name="p_1_3_1">#N/A</definedName>
    <definedName name="p_1_3_2">#N/A</definedName>
    <definedName name="p_1_4">#N/A</definedName>
    <definedName name="p_1_4_1">#N/A</definedName>
    <definedName name="p_1_4_2">#N/A</definedName>
    <definedName name="p_1_5">#N/A</definedName>
    <definedName name="p_1_5_1">#N/A</definedName>
    <definedName name="p_1_5_2">#N/A</definedName>
    <definedName name="p_1_6">#N/A</definedName>
    <definedName name="p_1_6_1">#N/A</definedName>
    <definedName name="p_1_6_2">#N/A</definedName>
    <definedName name="p_1_7">#N/A</definedName>
    <definedName name="p_1_7_1">#N/A</definedName>
    <definedName name="p_1_7_2">#N/A</definedName>
    <definedName name="p_2">#N/A</definedName>
    <definedName name="p_2_1">#N/A</definedName>
    <definedName name="p_2_1_1">#N/A</definedName>
    <definedName name="p_2_2">#N/A</definedName>
    <definedName name="p_3">#N/A</definedName>
    <definedName name="p_3_1">#N/A</definedName>
    <definedName name="p_3_2">#N/A</definedName>
    <definedName name="p_4">#N/A</definedName>
    <definedName name="p_4_1">#N/A</definedName>
    <definedName name="p_4_2">#N/A</definedName>
    <definedName name="p_5">#N/A</definedName>
    <definedName name="p_5_1">#N/A</definedName>
    <definedName name="p_5_2">#N/A</definedName>
    <definedName name="p_6">#N/A</definedName>
    <definedName name="p_6_1">#N/A</definedName>
    <definedName name="p_6_2">#N/A</definedName>
    <definedName name="p_7">#N/A</definedName>
    <definedName name="p_7_1">#N/A</definedName>
    <definedName name="p_7_2">#N/A</definedName>
    <definedName name="__PAN1">#N/A</definedName>
    <definedName name="PAN1_1">#N/A</definedName>
    <definedName name="PAN1_2">#N/A</definedName>
    <definedName name="__PAN2">#N/A</definedName>
    <definedName name="PAN2_1">#N/A</definedName>
    <definedName name="PAN2_2">#N/A</definedName>
    <definedName name="PANO">[13]KATSAYI!$D$19</definedName>
    <definedName name="pano_1">NA()</definedName>
    <definedName name="pano_1_1">NA()</definedName>
    <definedName name="pano_1_2">#N/A</definedName>
    <definedName name="pano_2">"$#BAŞV!.#BAŞV!#BAŞV!"</definedName>
    <definedName name="PAR">#N/A</definedName>
    <definedName name="PAR_1">#N/A</definedName>
    <definedName name="PAR_1_1">#N/A</definedName>
    <definedName name="PAR_1_1_1">#N/A</definedName>
    <definedName name="PAR_1_1_1_1">#N/A</definedName>
    <definedName name="PAR_1_1_1_1_1">#N/A</definedName>
    <definedName name="PAR_1_1_2">#N/A</definedName>
    <definedName name="PAR_1_2">#N/A</definedName>
    <definedName name="PAR_1_2_1">#N/A</definedName>
    <definedName name="PAR_1_2_1_1">#N/A</definedName>
    <definedName name="PAR_1_2_2">#N/A</definedName>
    <definedName name="PAR_1_3">#N/A</definedName>
    <definedName name="PAR_1_3_1">#N/A</definedName>
    <definedName name="PAR_1_3_2">#N/A</definedName>
    <definedName name="PAR_1_4">#N/A</definedName>
    <definedName name="PAR_1_4_1">#N/A</definedName>
    <definedName name="PAR_1_4_2">#N/A</definedName>
    <definedName name="PAR_1_5">#N/A</definedName>
    <definedName name="PAR_1_5_1">#N/A</definedName>
    <definedName name="PAR_1_5_2">#N/A</definedName>
    <definedName name="PAR_1_6">#N/A</definedName>
    <definedName name="PAR_1_6_1">#N/A</definedName>
    <definedName name="PAR_1_6_2">#N/A</definedName>
    <definedName name="PAR_1_7">#N/A</definedName>
    <definedName name="PAR_1_7_1">#N/A</definedName>
    <definedName name="PAR_1_7_2">#N/A</definedName>
    <definedName name="PAR_2">#N/A</definedName>
    <definedName name="PAR_2_1">#N/A</definedName>
    <definedName name="PAR_2_1_1">#N/A</definedName>
    <definedName name="PAR_2_2">#N/A</definedName>
    <definedName name="PAR_3">#N/A</definedName>
    <definedName name="PAR_3_1">#N/A</definedName>
    <definedName name="PAR_3_2">#N/A</definedName>
    <definedName name="PAR_4">#N/A</definedName>
    <definedName name="PAR_4_1">#N/A</definedName>
    <definedName name="PAR_4_2">#N/A</definedName>
    <definedName name="PAR_5">#N/A</definedName>
    <definedName name="PAR_5_1">#N/A</definedName>
    <definedName name="PAR_5_2">#N/A</definedName>
    <definedName name="PAR_6">#N/A</definedName>
    <definedName name="PAR_6_1">#N/A</definedName>
    <definedName name="PAR_6_2">#N/A</definedName>
    <definedName name="PAR_7">#N/A</definedName>
    <definedName name="PAR_7_1">#N/A</definedName>
    <definedName name="PAR_7_2">#N/A</definedName>
    <definedName name="parite">#REF!</definedName>
    <definedName name="parite_1">#REF!</definedName>
    <definedName name="parite_2">#REF!</definedName>
    <definedName name="parite_2_1">#REF!</definedName>
    <definedName name="parite_2_1_1">#REF!</definedName>
    <definedName name="parite_2_2">#REF!</definedName>
    <definedName name="parite_3">#REF!</definedName>
    <definedName name="parite_3_1">#REF!</definedName>
    <definedName name="PH">#REF!</definedName>
    <definedName name="PH_1">#REF!</definedName>
    <definedName name="PH_1_1">#REF!</definedName>
    <definedName name="PH_1_2">#REF!</definedName>
    <definedName name="PH_1_3">#REF!</definedName>
    <definedName name="PH_1_4">#REF!</definedName>
    <definedName name="PH_1_5">#REF!</definedName>
    <definedName name="PH_1_6">#REF!</definedName>
    <definedName name="PH_1_7">#REF!</definedName>
    <definedName name="PH_2">#REF!</definedName>
    <definedName name="PH_3">#REF!</definedName>
    <definedName name="PH_4">#REF!</definedName>
    <definedName name="PH_5">#REF!</definedName>
    <definedName name="PH_6">#REF!</definedName>
    <definedName name="PH_7">#REF!</definedName>
    <definedName name="philips">NA()</definedName>
    <definedName name="philips_1">NA()</definedName>
    <definedName name="philips_2">#N/A</definedName>
    <definedName name="pi">NA()</definedName>
    <definedName name="pi_1">NA()</definedName>
    <definedName name="pi_2">#N/A</definedName>
    <definedName name="pirelli">NA()</definedName>
    <definedName name="pirelli_1">NA()</definedName>
    <definedName name="pirelli_2">#N/A</definedName>
    <definedName name="pk">#N/A</definedName>
    <definedName name="pk_1">#N/A</definedName>
    <definedName name="pk_1_1">#N/A</definedName>
    <definedName name="pk_1_1_1">#N/A</definedName>
    <definedName name="pk_1_1_1_1">#N/A</definedName>
    <definedName name="pk_1_1_1_1_1">#N/A</definedName>
    <definedName name="pk_1_1_2">#N/A</definedName>
    <definedName name="pk_1_2">#N/A</definedName>
    <definedName name="pk_1_2_1">#N/A</definedName>
    <definedName name="pk_1_2_1_1">#N/A</definedName>
    <definedName name="pk_1_2_2">#N/A</definedName>
    <definedName name="pk_1_3">#N/A</definedName>
    <definedName name="pk_1_3_1">#N/A</definedName>
    <definedName name="pk_1_3_2">#N/A</definedName>
    <definedName name="pk_1_4">#N/A</definedName>
    <definedName name="pk_1_4_1">#N/A</definedName>
    <definedName name="pk_1_4_2">#N/A</definedName>
    <definedName name="pk_1_5">#N/A</definedName>
    <definedName name="pk_1_5_1">#N/A</definedName>
    <definedName name="pk_1_5_2">#N/A</definedName>
    <definedName name="pk_1_6">#N/A</definedName>
    <definedName name="pk_1_6_1">#N/A</definedName>
    <definedName name="pk_1_6_2">#N/A</definedName>
    <definedName name="pk_1_7">#N/A</definedName>
    <definedName name="pk_1_7_1">#N/A</definedName>
    <definedName name="pk_1_7_2">#N/A</definedName>
    <definedName name="pk_2">#N/A</definedName>
    <definedName name="pk_2_1">#N/A</definedName>
    <definedName name="pk_2_1_1">#N/A</definedName>
    <definedName name="pk_2_2">#N/A</definedName>
    <definedName name="pk_3">#N/A</definedName>
    <definedName name="pk_3_1">#N/A</definedName>
    <definedName name="pk_3_2">#N/A</definedName>
    <definedName name="pk_4">#N/A</definedName>
    <definedName name="pk_4_1">#N/A</definedName>
    <definedName name="pk_4_2">#N/A</definedName>
    <definedName name="pk_5">#N/A</definedName>
    <definedName name="pk_5_1">#N/A</definedName>
    <definedName name="pk_5_2">#N/A</definedName>
    <definedName name="pk_6">#N/A</definedName>
    <definedName name="pk_6_1">#N/A</definedName>
    <definedName name="pk_6_2">#N/A</definedName>
    <definedName name="pk_7">#N/A</definedName>
    <definedName name="pk_7_1">#N/A</definedName>
    <definedName name="pk_7_2">#N/A</definedName>
    <definedName name="Pos">#N/A</definedName>
    <definedName name="Pos_1">#N/A</definedName>
    <definedName name="Pos_2">#N/A</definedName>
    <definedName name="pr">NA()</definedName>
    <definedName name="pr_1">NA()</definedName>
    <definedName name="pr_1_1">NA()</definedName>
    <definedName name="pr_1_2">NA()</definedName>
    <definedName name="pr_1_3">NA()</definedName>
    <definedName name="pr_1_4">NA()</definedName>
    <definedName name="pr_1_5">NA()</definedName>
    <definedName name="pr_1_6">NA()</definedName>
    <definedName name="pr_1_7">NA()</definedName>
    <definedName name="pr_2">NA()</definedName>
    <definedName name="pr_3">NA()</definedName>
    <definedName name="pr_4">NA()</definedName>
    <definedName name="pr_5">NA()</definedName>
    <definedName name="pr_6">NA()</definedName>
    <definedName name="pr_7">NA()</definedName>
    <definedName name="Print_Area_MI">NA()</definedName>
    <definedName name="Print_Area_MI_1">NA()</definedName>
    <definedName name="Print_Area_MI_2">#N/A</definedName>
    <definedName name="Print_Range">NA()</definedName>
    <definedName name="ps">#N/A</definedName>
    <definedName name="ps_1">#N/A</definedName>
    <definedName name="ps_1_1">#N/A</definedName>
    <definedName name="ps_1_1_1">#N/A</definedName>
    <definedName name="ps_1_1_1_1">#N/A</definedName>
    <definedName name="ps_1_1_1_1_1">#N/A</definedName>
    <definedName name="ps_1_1_2">#N/A</definedName>
    <definedName name="ps_1_2">#N/A</definedName>
    <definedName name="ps_1_2_1">#N/A</definedName>
    <definedName name="ps_1_2_1_1">#N/A</definedName>
    <definedName name="ps_1_2_2">#N/A</definedName>
    <definedName name="ps_1_3">#N/A</definedName>
    <definedName name="ps_1_3_1">#N/A</definedName>
    <definedName name="ps_1_3_2">#N/A</definedName>
    <definedName name="ps_1_4">#N/A</definedName>
    <definedName name="ps_1_4_1">#N/A</definedName>
    <definedName name="ps_1_4_2">#N/A</definedName>
    <definedName name="ps_1_5">#N/A</definedName>
    <definedName name="ps_1_5_1">#N/A</definedName>
    <definedName name="ps_1_5_2">#N/A</definedName>
    <definedName name="ps_1_6">#N/A</definedName>
    <definedName name="ps_1_6_1">#N/A</definedName>
    <definedName name="ps_1_6_2">#N/A</definedName>
    <definedName name="ps_1_7">#N/A</definedName>
    <definedName name="ps_1_7_1">#N/A</definedName>
    <definedName name="ps_1_7_2">#N/A</definedName>
    <definedName name="ps_2">#N/A</definedName>
    <definedName name="ps_2_1">#N/A</definedName>
    <definedName name="ps_2_1_1">#N/A</definedName>
    <definedName name="ps_2_2">#N/A</definedName>
    <definedName name="ps_3">#N/A</definedName>
    <definedName name="ps_3_1">#N/A</definedName>
    <definedName name="ps_3_2">#N/A</definedName>
    <definedName name="ps_4">#N/A</definedName>
    <definedName name="ps_4_1">#N/A</definedName>
    <definedName name="ps_4_2">#N/A</definedName>
    <definedName name="ps_5">#N/A</definedName>
    <definedName name="ps_5_1">#N/A</definedName>
    <definedName name="ps_5_2">#N/A</definedName>
    <definedName name="ps_6">#N/A</definedName>
    <definedName name="ps_6_1">#N/A</definedName>
    <definedName name="ps_6_2">#N/A</definedName>
    <definedName name="ps_7">#N/A</definedName>
    <definedName name="ps_7_1">#N/A</definedName>
    <definedName name="ps_7_2">#N/A</definedName>
    <definedName name="Q">NA()</definedName>
    <definedName name="Q_1">NA()</definedName>
    <definedName name="Q_2">#N/A</definedName>
    <definedName name="Q34G">NA()</definedName>
    <definedName name="Q34G_1">NA()</definedName>
    <definedName name="Q34G_2">#N/A</definedName>
    <definedName name="REF_A_DISC47861857">#N/A</definedName>
    <definedName name="REF_A_DISC47861857_1">#N/A</definedName>
    <definedName name="REF_A_DISC47861857_2">#N/A</definedName>
    <definedName name="REF_B_DISC47861857">#N/A</definedName>
    <definedName name="REF_B_DISC47861857_1">#N/A</definedName>
    <definedName name="REF_B_DISC47861857_2">#N/A</definedName>
    <definedName name="REF_C1_DISC47861857">#N/A</definedName>
    <definedName name="REF_C1_DISC47861857_1">#N/A</definedName>
    <definedName name="REF_C1_DISC47861857_2">#N/A</definedName>
    <definedName name="REF_C2_DISC47861857">#N/A</definedName>
    <definedName name="REF_C2_DISC47861857_1">#N/A</definedName>
    <definedName name="REF_C2_DISC47861857_2">#N/A</definedName>
    <definedName name="REF_F_DISC47861857">#N/A</definedName>
    <definedName name="REF_F_DISC47861857_1">#N/A</definedName>
    <definedName name="REF_F_DISC47861857_2">#N/A</definedName>
    <definedName name="__RSK1">#N/A</definedName>
    <definedName name="RSK1_1">#N/A</definedName>
    <definedName name="RSK1_2">#N/A</definedName>
    <definedName name="__RSK2">#N/A</definedName>
    <definedName name="RSK2_1">#N/A</definedName>
    <definedName name="RSK2_2">#N/A</definedName>
    <definedName name="__RSK3">#N/A</definedName>
    <definedName name="RSK3_1">#N/A</definedName>
    <definedName name="RSK3_2">#N/A</definedName>
    <definedName name="s">#N/A</definedName>
    <definedName name="s_1">#N/A</definedName>
    <definedName name="s_1_1">#N/A</definedName>
    <definedName name="s_1_1_1">#N/A</definedName>
    <definedName name="s_1_1_1_1">#N/A</definedName>
    <definedName name="s_1_1_1_1_1">#N/A</definedName>
    <definedName name="s_1_1_2">#N/A</definedName>
    <definedName name="s_1_2">#N/A</definedName>
    <definedName name="s_1_2_1">#N/A</definedName>
    <definedName name="s_1_2_1_1">#N/A</definedName>
    <definedName name="s_1_2_2">#N/A</definedName>
    <definedName name="s_1_3">#N/A</definedName>
    <definedName name="s_1_3_1">#N/A</definedName>
    <definedName name="s_1_3_2">#N/A</definedName>
    <definedName name="s_1_4">#N/A</definedName>
    <definedName name="s_1_4_1">#N/A</definedName>
    <definedName name="s_1_4_2">#N/A</definedName>
    <definedName name="s_1_5">#N/A</definedName>
    <definedName name="s_1_5_1">#N/A</definedName>
    <definedName name="s_1_5_2">#N/A</definedName>
    <definedName name="s_1_6">#N/A</definedName>
    <definedName name="s_1_6_1">#N/A</definedName>
    <definedName name="s_1_6_2">#N/A</definedName>
    <definedName name="s_1_7">#N/A</definedName>
    <definedName name="s_1_7_1">#N/A</definedName>
    <definedName name="s_1_7_2">#N/A</definedName>
    <definedName name="s_2">#N/A</definedName>
    <definedName name="s_2_1">#N/A</definedName>
    <definedName name="s_2_1_1">#N/A</definedName>
    <definedName name="s_2_2">#N/A</definedName>
    <definedName name="s_3">#N/A</definedName>
    <definedName name="s_3_1">#N/A</definedName>
    <definedName name="s_3_2">#N/A</definedName>
    <definedName name="s_4">#N/A</definedName>
    <definedName name="s_4_1">#N/A</definedName>
    <definedName name="s_4_2">#N/A</definedName>
    <definedName name="s_5">#N/A</definedName>
    <definedName name="s_5_1">#N/A</definedName>
    <definedName name="s_5_2">#N/A</definedName>
    <definedName name="s_6">#N/A</definedName>
    <definedName name="s_6_1">#N/A</definedName>
    <definedName name="s_6_2">#N/A</definedName>
    <definedName name="s_7">#N/A</definedName>
    <definedName name="s_7_1">#N/A</definedName>
    <definedName name="s_7_2">#N/A</definedName>
    <definedName name="SEC">#N/A</definedName>
    <definedName name="SEC_1">#N/A</definedName>
    <definedName name="SEC_1_1">#N/A</definedName>
    <definedName name="SEC_1_1_1">#N/A</definedName>
    <definedName name="SEC_1_1_1_1">#N/A</definedName>
    <definedName name="SEC_1_1_1_1_1">#N/A</definedName>
    <definedName name="SEC_1_1_2">#N/A</definedName>
    <definedName name="SEC_1_2">#N/A</definedName>
    <definedName name="SEC_1_2_1">#N/A</definedName>
    <definedName name="SEC_1_2_1_1">#N/A</definedName>
    <definedName name="SEC_1_2_2">#N/A</definedName>
    <definedName name="SEC_1_3">#N/A</definedName>
    <definedName name="SEC_1_3_1">#N/A</definedName>
    <definedName name="SEC_1_3_2">#N/A</definedName>
    <definedName name="SEC_1_4">#N/A</definedName>
    <definedName name="SEC_1_4_1">#N/A</definedName>
    <definedName name="SEC_1_4_2">#N/A</definedName>
    <definedName name="SEC_1_5">#N/A</definedName>
    <definedName name="SEC_1_5_1">#N/A</definedName>
    <definedName name="SEC_1_5_2">#N/A</definedName>
    <definedName name="SEC_1_6">#N/A</definedName>
    <definedName name="SEC_1_6_1">#N/A</definedName>
    <definedName name="SEC_1_6_2">#N/A</definedName>
    <definedName name="SEC_1_7">#N/A</definedName>
    <definedName name="SEC_1_7_1">#N/A</definedName>
    <definedName name="SEC_1_7_2">#N/A</definedName>
    <definedName name="SEC_2">#N/A</definedName>
    <definedName name="SEC_2_1">#N/A</definedName>
    <definedName name="SEC_2_1_1">#N/A</definedName>
    <definedName name="SEC_2_2">#N/A</definedName>
    <definedName name="SEC_3">#N/A</definedName>
    <definedName name="SEC_3_1">#N/A</definedName>
    <definedName name="SEC_3_2">#N/A</definedName>
    <definedName name="SEC_4">#N/A</definedName>
    <definedName name="SEC_4_1">#N/A</definedName>
    <definedName name="SEC_4_2">#N/A</definedName>
    <definedName name="SEC_5">#N/A</definedName>
    <definedName name="SEC_5_1">#N/A</definedName>
    <definedName name="SEC_5_2">#N/A</definedName>
    <definedName name="SEC_6">#N/A</definedName>
    <definedName name="SEC_6_1">#N/A</definedName>
    <definedName name="SEC_6_2">#N/A</definedName>
    <definedName name="SEC_7">#N/A</definedName>
    <definedName name="SEC_7_1">#N/A</definedName>
    <definedName name="SEC_7_2">#N/A</definedName>
    <definedName name="SES">#N/A</definedName>
    <definedName name="SES_1">#N/A</definedName>
    <definedName name="ses_1_1">NA()</definedName>
    <definedName name="ses_1_1_1">NA()</definedName>
    <definedName name="SES_1_1_1_1">#N/A</definedName>
    <definedName name="SES_1_1_1_1_1">#N/A</definedName>
    <definedName name="SES_1_1_1_1_1_1">#N/A</definedName>
    <definedName name="SES_1_1_1_1_1_1_1">#N/A</definedName>
    <definedName name="SES_1_1_1_2">#N/A</definedName>
    <definedName name="SES_1_1_2">#N/A</definedName>
    <definedName name="ses_1_2">#N/A</definedName>
    <definedName name="SES_1_2_1">#N/A</definedName>
    <definedName name="SES_1_2_1_1">#N/A</definedName>
    <definedName name="SES_1_2_2">#N/A</definedName>
    <definedName name="SES_1_3">#N/A</definedName>
    <definedName name="SES_1_3_1">#N/A</definedName>
    <definedName name="SES_1_3_2">#N/A</definedName>
    <definedName name="SES_1_4">#N/A</definedName>
    <definedName name="SES_1_4_1">#N/A</definedName>
    <definedName name="SES_1_4_2">#N/A</definedName>
    <definedName name="SES_1_5">#N/A</definedName>
    <definedName name="SES_1_5_1">#N/A</definedName>
    <definedName name="SES_1_5_2">#N/A</definedName>
    <definedName name="SES_1_6">#N/A</definedName>
    <definedName name="SES_1_6_1">#N/A</definedName>
    <definedName name="SES_1_6_2">#N/A</definedName>
    <definedName name="SES_1_7">#N/A</definedName>
    <definedName name="SES_1_7_1">#N/A</definedName>
    <definedName name="SES_1_7_2">#N/A</definedName>
    <definedName name="SES_2">#N/A</definedName>
    <definedName name="SES_2_1">#N/A</definedName>
    <definedName name="SES_2_1_1">#N/A</definedName>
    <definedName name="SES_2_2">#N/A</definedName>
    <definedName name="SES_3">#N/A</definedName>
    <definedName name="SES_3_1">#N/A</definedName>
    <definedName name="SES_3_2">#N/A</definedName>
    <definedName name="SES_4">#N/A</definedName>
    <definedName name="SES_4_1">#N/A</definedName>
    <definedName name="SES_4_2">#N/A</definedName>
    <definedName name="SES_5">#N/A</definedName>
    <definedName name="SES_5_1">#N/A</definedName>
    <definedName name="SES_5_2">#N/A</definedName>
    <definedName name="SES_6">#N/A</definedName>
    <definedName name="SES_6_1">#N/A</definedName>
    <definedName name="SES_6_2">#N/A</definedName>
    <definedName name="SES_7">#N/A</definedName>
    <definedName name="SES_7_1">#N/A</definedName>
    <definedName name="SES_7_2">#N/A</definedName>
    <definedName name="SFR">#N/A</definedName>
    <definedName name="SFR_1">#N/A</definedName>
    <definedName name="SFR_1_1">NA()</definedName>
    <definedName name="SFR_1_1_1">NA()</definedName>
    <definedName name="SFR_1_1_1_1">#N/A</definedName>
    <definedName name="SFR_1_1_1_1_1">#N/A</definedName>
    <definedName name="SFR_1_1_1_1_1_1">#N/A</definedName>
    <definedName name="SFR_1_1_1_1_1_1_1">#N/A</definedName>
    <definedName name="SFR_1_1_1_2">#N/A</definedName>
    <definedName name="SFR_1_1_2">#N/A</definedName>
    <definedName name="SFR_1_2">#N/A</definedName>
    <definedName name="SFR_1_2_1">#N/A</definedName>
    <definedName name="SFR_1_2_1_1">#N/A</definedName>
    <definedName name="SFR_1_2_2">#N/A</definedName>
    <definedName name="SFR_1_3">#N/A</definedName>
    <definedName name="SFR_1_3_1">#N/A</definedName>
    <definedName name="SFR_1_3_2">#N/A</definedName>
    <definedName name="SFR_1_4">#N/A</definedName>
    <definedName name="SFR_1_4_1">#N/A</definedName>
    <definedName name="SFR_1_4_2">#N/A</definedName>
    <definedName name="SFR_1_5">#N/A</definedName>
    <definedName name="SFR_1_5_1">#N/A</definedName>
    <definedName name="SFR_1_5_2">#N/A</definedName>
    <definedName name="SFR_1_6">#N/A</definedName>
    <definedName name="SFR_1_6_1">#N/A</definedName>
    <definedName name="SFR_1_6_2">#N/A</definedName>
    <definedName name="SFR_1_7">#N/A</definedName>
    <definedName name="SFR_1_7_1">#N/A</definedName>
    <definedName name="SFR_1_7_2">#N/A</definedName>
    <definedName name="SFR_2">#N/A</definedName>
    <definedName name="SFR_2_1">#N/A</definedName>
    <definedName name="SFR_2_1_1">#N/A</definedName>
    <definedName name="SFR_2_2">#N/A</definedName>
    <definedName name="SFR_3">#N/A</definedName>
    <definedName name="SFR_3_1">#N/A</definedName>
    <definedName name="SFR_3_2">#N/A</definedName>
    <definedName name="SFR_4">#N/A</definedName>
    <definedName name="SFR_4_1">#N/A</definedName>
    <definedName name="SFR_4_2">#N/A</definedName>
    <definedName name="SFR_5">#N/A</definedName>
    <definedName name="SFR_5_1">#N/A</definedName>
    <definedName name="SFR_5_2">#N/A</definedName>
    <definedName name="SFR_6">#N/A</definedName>
    <definedName name="SFR_6_1">#N/A</definedName>
    <definedName name="SFR_6_2">#N/A</definedName>
    <definedName name="SFR_7">#N/A</definedName>
    <definedName name="SFR_7_1">#N/A</definedName>
    <definedName name="SFR_7_2">#N/A</definedName>
    <definedName name="SIT">NA()</definedName>
    <definedName name="SIT_1">NA()</definedName>
    <definedName name="SIT_2">#N/A</definedName>
    <definedName name="SİŞ">#N/A</definedName>
    <definedName name="SİŞ_1">#N/A</definedName>
    <definedName name="SİŞ_2">#N/A</definedName>
    <definedName name="sorti">NA()</definedName>
    <definedName name="sorti_1">NA()</definedName>
    <definedName name="sorti_2">#N/A</definedName>
    <definedName name="str">NA()</definedName>
    <definedName name="str_1">NA()</definedName>
    <definedName name="STR_1_1">#N/A</definedName>
    <definedName name="STR_1_1_1">#N/A</definedName>
    <definedName name="STR_1_2">#N/A</definedName>
    <definedName name="str_2">#N/A</definedName>
    <definedName name="Sum_Endg">#N/A</definedName>
    <definedName name="Sum_Endg_1">#N/A</definedName>
    <definedName name="Sum_Endg_2">#N/A</definedName>
    <definedName name="Sum_Endg_mit_Faktor">#N/A</definedName>
    <definedName name="Sum_Endg_mit_Faktor_1">#N/A</definedName>
    <definedName name="Sum_Endg_mit_Faktor_2">#N/A</definedName>
    <definedName name="Sum_Endg_mit_LG_Faktor">#N/A</definedName>
    <definedName name="Sum_Endg_mit_LG_Faktor_1">#N/A</definedName>
    <definedName name="Sum_Endg_mit_LG_Faktor_2">#N/A</definedName>
    <definedName name="Sum_Ltg">#N/A</definedName>
    <definedName name="Sum_Ltg_1">#N/A</definedName>
    <definedName name="Sum_Ltg_2">#N/A</definedName>
    <definedName name="Sum_Ltg_mit_Faktor">#N/A</definedName>
    <definedName name="Sum_Ltg_mit_Faktor_1">#N/A</definedName>
    <definedName name="Sum_Ltg_mit_Faktor_2">#N/A</definedName>
    <definedName name="Sum_Ltg_mit_LG_Faktor">#N/A</definedName>
    <definedName name="Sum_Ltg_mit_LG_Faktor_1">#N/A</definedName>
    <definedName name="Sum_Ltg_mit_LG_Faktor_2">#N/A</definedName>
    <definedName name="Sum_Serv">#N/A</definedName>
    <definedName name="Sum_Serv_1">#N/A</definedName>
    <definedName name="Sum_Serv_2">#N/A</definedName>
    <definedName name="Sum_Server_mit_Faktor">#N/A</definedName>
    <definedName name="Sum_Server_mit_Faktor_1">#N/A</definedName>
    <definedName name="Sum_Server_mit_Faktor_2">#N/A</definedName>
    <definedName name="Sum_Server_mit_LG_Faktor">#N/A</definedName>
    <definedName name="Sum_Server_mit_LG_Faktor_1">#N/A</definedName>
    <definedName name="Sum_Server_mit_LG_Faktor_2">#N/A</definedName>
    <definedName name="Sum_Sonst">#N/A</definedName>
    <definedName name="Sum_Sonst_1">#N/A</definedName>
    <definedName name="Sum_Sonst_2">#N/A</definedName>
    <definedName name="Sum_Sys">#N/A</definedName>
    <definedName name="Sum_Sys_1">#N/A</definedName>
    <definedName name="Sum_Sys_2">#N/A</definedName>
    <definedName name="Sum_Sys_mit_Faktor">#N/A</definedName>
    <definedName name="Sum_Sys_mit_Faktor_1">#N/A</definedName>
    <definedName name="Sum_Sys_mit_Faktor_2">#N/A</definedName>
    <definedName name="Support_Column">#N/A</definedName>
    <definedName name="Support_Column_1">#N/A</definedName>
    <definedName name="Support_Column_1_1">#N/A</definedName>
    <definedName name="Support_Column_1_1_1">#N/A</definedName>
    <definedName name="Support_Column_1_2">#N/A</definedName>
    <definedName name="Support_Column_2">#N/A</definedName>
    <definedName name="Support_Column_2_1">#N/A</definedName>
    <definedName name="Support_Column_2_1_1">#N/A</definedName>
    <definedName name="Support_Column_2_2">#N/A</definedName>
    <definedName name="Support_Column_3">#REF!</definedName>
    <definedName name="Support_Column_3_1">#REF!</definedName>
    <definedName name="Support_Column_3_2">"$#BAŞV!.#BAŞV!#BAŞV!"</definedName>
    <definedName name="sw">NA()</definedName>
    <definedName name="sw_1">NA()</definedName>
    <definedName name="sw_1_1">NA()</definedName>
    <definedName name="sw_1_2">NA()</definedName>
    <definedName name="sw_1_3">NA()</definedName>
    <definedName name="sw_1_4">NA()</definedName>
    <definedName name="sw_1_5">NA()</definedName>
    <definedName name="sw_1_6">NA()</definedName>
    <definedName name="sw_1_7">NA()</definedName>
    <definedName name="sw_2">NA()</definedName>
    <definedName name="sw_3">NA()</definedName>
    <definedName name="sw_4">NA()</definedName>
    <definedName name="sw_5">NA()</definedName>
    <definedName name="sw_6">NA()</definedName>
    <definedName name="sw_7">NA()</definedName>
    <definedName name="ş">NA()</definedName>
    <definedName name="ş_1">NA()</definedName>
    <definedName name="ş_1_1">NA()</definedName>
    <definedName name="ş_1_2">NA()</definedName>
    <definedName name="ş_1_3">NA()</definedName>
    <definedName name="ş_1_4">NA()</definedName>
    <definedName name="ş_1_5">NA()</definedName>
    <definedName name="ş_1_6">NA()</definedName>
    <definedName name="ş_1_7">NA()</definedName>
    <definedName name="ş_2">NA()</definedName>
    <definedName name="ş_3">NA()</definedName>
    <definedName name="ş_4">NA()</definedName>
    <definedName name="ş_5">NA()</definedName>
    <definedName name="ş_6">NA()</definedName>
    <definedName name="ş_7">NA()</definedName>
    <definedName name="şalt">NA()</definedName>
    <definedName name="şalt_1">NA()</definedName>
    <definedName name="şalt_2">#N/A</definedName>
    <definedName name="ŞİŞ">#N/A</definedName>
    <definedName name="ŞİŞ_1">#N/A</definedName>
    <definedName name="ŞİŞ_2">#N/A</definedName>
    <definedName name="t">NA()</definedName>
    <definedName name="t_1">NA()</definedName>
    <definedName name="t_1_1">NA()</definedName>
    <definedName name="t_1_2">NA()</definedName>
    <definedName name="t_1_3">NA()</definedName>
    <definedName name="t_1_4">NA()</definedName>
    <definedName name="t_1_5">NA()</definedName>
    <definedName name="t_1_6">NA()</definedName>
    <definedName name="t_1_7">NA()</definedName>
    <definedName name="t_2">NA()</definedName>
    <definedName name="t_3">NA()</definedName>
    <definedName name="t_4">NA()</definedName>
    <definedName name="t_5">NA()</definedName>
    <definedName name="t_6">NA()</definedName>
    <definedName name="t_7">NA()</definedName>
    <definedName name="TABLE1">#REF!</definedName>
    <definedName name="TABLE1_1">#REF!</definedName>
    <definedName name="TABLE1_2">"$#BAŞV!.#BAŞV!#BAŞV!"</definedName>
    <definedName name="TABLE2">NA()</definedName>
    <definedName name="TABLE2_1">NA()</definedName>
    <definedName name="TABLE2_2">#N/A</definedName>
    <definedName name="TARİH">#N/A</definedName>
    <definedName name="TARİH_1">#N/A</definedName>
    <definedName name="TARİH_2">#N/A</definedName>
    <definedName name="tava">NA()</definedName>
    <definedName name="tava_1">NA()</definedName>
    <definedName name="tava_2">#N/A</definedName>
    <definedName name="TEKLIF">'[23]genel bilgiler'!$A$2:$C$5</definedName>
    <definedName name="TEKLIF_1">'[23]genel bilgiler'!$A$2:$C$5</definedName>
    <definedName name="TEKLIF_2">#REF!</definedName>
    <definedName name="TEL">#N/A</definedName>
    <definedName name="TEL_1">#N/A</definedName>
    <definedName name="TEL_1_1">#N/A</definedName>
    <definedName name="TEL_1_1_1">#N/A</definedName>
    <definedName name="TEL_1_1_1_1">#N/A</definedName>
    <definedName name="TEL_1_1_1_1_1">#N/A</definedName>
    <definedName name="TEL_1_1_2">#N/A</definedName>
    <definedName name="TEL_1_2">#N/A</definedName>
    <definedName name="TEL_1_2_1">#N/A</definedName>
    <definedName name="TEL_1_2_1_1">#N/A</definedName>
    <definedName name="TEL_1_2_2">#N/A</definedName>
    <definedName name="TEL_1_3">#N/A</definedName>
    <definedName name="TEL_1_3_1">#N/A</definedName>
    <definedName name="TEL_1_3_2">#N/A</definedName>
    <definedName name="TEL_1_4">#N/A</definedName>
    <definedName name="TEL_1_4_1">#N/A</definedName>
    <definedName name="TEL_1_4_2">#N/A</definedName>
    <definedName name="TEL_1_5">#N/A</definedName>
    <definedName name="TEL_1_5_1">#N/A</definedName>
    <definedName name="TEL_1_5_2">#N/A</definedName>
    <definedName name="TEL_1_6">#N/A</definedName>
    <definedName name="TEL_1_6_1">#N/A</definedName>
    <definedName name="TEL_1_6_2">#N/A</definedName>
    <definedName name="TEL_1_7">#N/A</definedName>
    <definedName name="TEL_1_7_1">#N/A</definedName>
    <definedName name="TEL_1_7_2">#N/A</definedName>
    <definedName name="TEL_2">#N/A</definedName>
    <definedName name="TEL_2_1">#N/A</definedName>
    <definedName name="TEL_2_1_1">#N/A</definedName>
    <definedName name="TEL_2_2">#N/A</definedName>
    <definedName name="TEL_3">#N/A</definedName>
    <definedName name="TEL_3_1">#N/A</definedName>
    <definedName name="TEL_3_2">#N/A</definedName>
    <definedName name="TEL_4">#N/A</definedName>
    <definedName name="TEL_4_1">#N/A</definedName>
    <definedName name="TEL_4_2">#N/A</definedName>
    <definedName name="TEL_5">#N/A</definedName>
    <definedName name="TEL_5_1">#N/A</definedName>
    <definedName name="TEL_5_2">#N/A</definedName>
    <definedName name="TEL_6">#N/A</definedName>
    <definedName name="TEL_6_1">#N/A</definedName>
    <definedName name="TEL_6_2">#N/A</definedName>
    <definedName name="TEL_7">#N/A</definedName>
    <definedName name="TEL_7_1">#N/A</definedName>
    <definedName name="TEL_7_2">#N/A</definedName>
    <definedName name="telefon">NA()</definedName>
    <definedName name="telefon_1">NA()</definedName>
    <definedName name="telefon_2">#N/A</definedName>
    <definedName name="TEN">#N/A</definedName>
    <definedName name="TEN_1">#N/A</definedName>
    <definedName name="TEN_1_1">#N/A</definedName>
    <definedName name="TEN_1_1_1">#N/A</definedName>
    <definedName name="TEN_1_1_1_1">#N/A</definedName>
    <definedName name="TEN_1_1_1_1_1">#N/A</definedName>
    <definedName name="TEN_1_1_2">#N/A</definedName>
    <definedName name="TEN_1_2">#N/A</definedName>
    <definedName name="TEN_1_2_1">#N/A</definedName>
    <definedName name="TEN_1_2_1_1">#N/A</definedName>
    <definedName name="TEN_1_2_2">#N/A</definedName>
    <definedName name="TEN_1_3">#N/A</definedName>
    <definedName name="TEN_1_3_1">#N/A</definedName>
    <definedName name="TEN_1_3_2">#N/A</definedName>
    <definedName name="TEN_1_4">#N/A</definedName>
    <definedName name="TEN_1_4_1">#N/A</definedName>
    <definedName name="TEN_1_4_2">#N/A</definedName>
    <definedName name="TEN_1_5">#N/A</definedName>
    <definedName name="TEN_1_5_1">#N/A</definedName>
    <definedName name="TEN_1_5_2">#N/A</definedName>
    <definedName name="TEN_1_6">#N/A</definedName>
    <definedName name="TEN_1_6_1">#N/A</definedName>
    <definedName name="TEN_1_6_2">#N/A</definedName>
    <definedName name="TEN_1_7">#N/A</definedName>
    <definedName name="TEN_1_7_1">#N/A</definedName>
    <definedName name="TEN_1_7_2">#N/A</definedName>
    <definedName name="TEN_2">#N/A</definedName>
    <definedName name="TEN_2_1">#N/A</definedName>
    <definedName name="TEN_2_1_1">#N/A</definedName>
    <definedName name="TEN_2_2">#N/A</definedName>
    <definedName name="TEN_3">#N/A</definedName>
    <definedName name="TEN_3_1">#N/A</definedName>
    <definedName name="TEN_3_2">#N/A</definedName>
    <definedName name="TEN_4">#N/A</definedName>
    <definedName name="TEN_4_1">#N/A</definedName>
    <definedName name="TEN_4_2">#N/A</definedName>
    <definedName name="TEN_5">#N/A</definedName>
    <definedName name="TEN_5_1">#N/A</definedName>
    <definedName name="TEN_5_2">#N/A</definedName>
    <definedName name="TEN_6">#N/A</definedName>
    <definedName name="TEN_6_1">#N/A</definedName>
    <definedName name="TEN_6_2">#N/A</definedName>
    <definedName name="TEN_7">#N/A</definedName>
    <definedName name="TEN_7_1">#N/A</definedName>
    <definedName name="TEN_7_2">#N/A</definedName>
    <definedName name="TES">#N/A</definedName>
    <definedName name="TES_1">#N/A</definedName>
    <definedName name="TES_1_1">#N/A</definedName>
    <definedName name="TES_1_1_1">#N/A</definedName>
    <definedName name="TES_1_2">#N/A</definedName>
    <definedName name="TES_2">#N/A</definedName>
    <definedName name="TES_2_1">#N/A</definedName>
    <definedName name="TES_2_1_1">#N/A</definedName>
    <definedName name="TES_2_2">#N/A</definedName>
    <definedName name="TES_3">#N/A</definedName>
    <definedName name="TES_3_1">#N/A</definedName>
    <definedName name="TES_3_2">#N/A</definedName>
    <definedName name="TES_4">#N/A</definedName>
    <definedName name="TES_4_1">#N/A</definedName>
    <definedName name="TES_4_2">#N/A</definedName>
    <definedName name="TES_5">#N/A</definedName>
    <definedName name="TES_5_1">#N/A</definedName>
    <definedName name="TES_5_2">#N/A</definedName>
    <definedName name="TES_6">#N/A</definedName>
    <definedName name="TES_6_1">#N/A</definedName>
    <definedName name="TES_6_2">#N/A</definedName>
    <definedName name="TES_7">#N/A</definedName>
    <definedName name="TES_7_1">#N/A</definedName>
    <definedName name="TES_7_2">#N/A</definedName>
    <definedName name="tlf">NA()</definedName>
    <definedName name="tlf_1">NA()</definedName>
    <definedName name="tlf_1_1">NA()</definedName>
    <definedName name="tlf_1_2">NA()</definedName>
    <definedName name="tlf_1_3">NA()</definedName>
    <definedName name="tlf_1_4">NA()</definedName>
    <definedName name="tlf_1_5">NA()</definedName>
    <definedName name="tlf_1_6">NA()</definedName>
    <definedName name="tlf_1_7">NA()</definedName>
    <definedName name="tlf_2">NA()</definedName>
    <definedName name="tlf_3">NA()</definedName>
    <definedName name="tlf_4">NA()</definedName>
    <definedName name="tlf_5">NA()</definedName>
    <definedName name="tlf_6">NA()</definedName>
    <definedName name="tlf_7">NA()</definedName>
    <definedName name="TRF">#N/A</definedName>
    <definedName name="TRF_1">#N/A</definedName>
    <definedName name="TRF_1_1">#N/A</definedName>
    <definedName name="TRF_1_1_1">#N/A</definedName>
    <definedName name="TRF_1_2">#N/A</definedName>
    <definedName name="TRF_2">#N/A</definedName>
    <definedName name="TRF_2_1">#N/A</definedName>
    <definedName name="TRF_2_1_1">#N/A</definedName>
    <definedName name="TRF_2_2">#N/A</definedName>
    <definedName name="TRF_3">#N/A</definedName>
    <definedName name="TRF_3_1">#N/A</definedName>
    <definedName name="TRF_3_2">#N/A</definedName>
    <definedName name="TRF_4">#N/A</definedName>
    <definedName name="TRF_4_1">#N/A</definedName>
    <definedName name="TRF_4_2">#N/A</definedName>
    <definedName name="TRF_5">#N/A</definedName>
    <definedName name="TRF_5_1">#N/A</definedName>
    <definedName name="TRF_5_2">#N/A</definedName>
    <definedName name="TRF_6">#N/A</definedName>
    <definedName name="TRF_6_1">#N/A</definedName>
    <definedName name="TRF_6_2">#N/A</definedName>
    <definedName name="TRF_7">#N/A</definedName>
    <definedName name="TRF_7_1">#N/A</definedName>
    <definedName name="TRF_7_2">#N/A</definedName>
    <definedName name="tv">NA()</definedName>
    <definedName name="tv_1">NA()</definedName>
    <definedName name="tv_1_1">NA()</definedName>
    <definedName name="tv_1_2">NA()</definedName>
    <definedName name="tv_1_3">NA()</definedName>
    <definedName name="tv_1_4">NA()</definedName>
    <definedName name="tv_1_5">NA()</definedName>
    <definedName name="tv_1_6">NA()</definedName>
    <definedName name="tv_1_7">NA()</definedName>
    <definedName name="tv_2">NA()</definedName>
    <definedName name="tv_3">NA()</definedName>
    <definedName name="tv_4">NA()</definedName>
    <definedName name="tv_5">NA()</definedName>
    <definedName name="tv_6">NA()</definedName>
    <definedName name="tv_7">NA()</definedName>
    <definedName name="UKS">#N/A</definedName>
    <definedName name="UKS_1">#N/A</definedName>
    <definedName name="UKS_1_1">#N/A</definedName>
    <definedName name="UKS_1_1_1">#N/A</definedName>
    <definedName name="UKS_1_2">#N/A</definedName>
    <definedName name="UKS_2">#N/A</definedName>
    <definedName name="UKS_2_1">#N/A</definedName>
    <definedName name="UKS_2_1_1">#N/A</definedName>
    <definedName name="UKS_2_2">#N/A</definedName>
    <definedName name="UKS_3">#N/A</definedName>
    <definedName name="UKS_3_1">#N/A</definedName>
    <definedName name="UKS_3_2">#N/A</definedName>
    <definedName name="UKS_4">#N/A</definedName>
    <definedName name="UKS_4_1">#N/A</definedName>
    <definedName name="UKS_4_2">#N/A</definedName>
    <definedName name="UKS_5">#N/A</definedName>
    <definedName name="UKS_5_1">#N/A</definedName>
    <definedName name="UKS_5_2">#N/A</definedName>
    <definedName name="UKS_6">#N/A</definedName>
    <definedName name="UKS_6_1">#N/A</definedName>
    <definedName name="UKS_6_2">#N/A</definedName>
    <definedName name="UKS_7">#N/A</definedName>
    <definedName name="UKS_7_1">#N/A</definedName>
    <definedName name="UKS_7_2">#N/A</definedName>
    <definedName name="UPS">#N/A</definedName>
    <definedName name="UPS_1">#N/A</definedName>
    <definedName name="UPS_1_1">NA()</definedName>
    <definedName name="UPS_1_1_1">NA()</definedName>
    <definedName name="UPS_1_1_1_1">#N/A</definedName>
    <definedName name="UPS_1_1_1_1_1">#N/A</definedName>
    <definedName name="UPS_1_1_1_1_1_1">#N/A</definedName>
    <definedName name="UPS_1_1_1_1_1_1_1">#N/A</definedName>
    <definedName name="UPS_1_1_1_2">#N/A</definedName>
    <definedName name="UPS_1_1_2">#N/A</definedName>
    <definedName name="UPS_1_2">#N/A</definedName>
    <definedName name="UPS_1_2_1">#N/A</definedName>
    <definedName name="UPS_1_2_1_1">#N/A</definedName>
    <definedName name="UPS_1_2_2">#N/A</definedName>
    <definedName name="UPS_1_3">#N/A</definedName>
    <definedName name="UPS_1_3_1">#N/A</definedName>
    <definedName name="UPS_1_3_2">#N/A</definedName>
    <definedName name="UPS_1_4">#N/A</definedName>
    <definedName name="UPS_1_4_1">#N/A</definedName>
    <definedName name="UPS_1_4_2">#N/A</definedName>
    <definedName name="UPS_1_5">#N/A</definedName>
    <definedName name="UPS_1_5_1">#N/A</definedName>
    <definedName name="UPS_1_5_2">#N/A</definedName>
    <definedName name="UPS_1_6">#N/A</definedName>
    <definedName name="UPS_1_6_1">#N/A</definedName>
    <definedName name="UPS_1_6_2">#N/A</definedName>
    <definedName name="UPS_1_7">#N/A</definedName>
    <definedName name="UPS_1_7_1">#N/A</definedName>
    <definedName name="UPS_1_7_2">#N/A</definedName>
    <definedName name="UPS_2">#N/A</definedName>
    <definedName name="UPS_2_1">#N/A</definedName>
    <definedName name="UPS_2_1_1">#N/A</definedName>
    <definedName name="UPS_2_2">#N/A</definedName>
    <definedName name="UPS_3">#N/A</definedName>
    <definedName name="UPS_3_1">#N/A</definedName>
    <definedName name="UPS_3_2">#N/A</definedName>
    <definedName name="UPS_4">#N/A</definedName>
    <definedName name="UPS_4_1">#N/A</definedName>
    <definedName name="UPS_4_2">#N/A</definedName>
    <definedName name="UPS_5">#N/A</definedName>
    <definedName name="UPS_5_1">#N/A</definedName>
    <definedName name="UPS_5_2">#N/A</definedName>
    <definedName name="UPS_6">#N/A</definedName>
    <definedName name="UPS_6_1">#N/A</definedName>
    <definedName name="UPS_6_2">#N/A</definedName>
    <definedName name="UPS_7">#N/A</definedName>
    <definedName name="UPS_7_1">#N/A</definedName>
    <definedName name="UPS_7_2">#N/A</definedName>
    <definedName name="USD">#N/A</definedName>
    <definedName name="USD_1">#N/A</definedName>
    <definedName name="USD_1_1">NA()</definedName>
    <definedName name="USD_1_1_1">NA()</definedName>
    <definedName name="USD_1_1_1_1">#N/A</definedName>
    <definedName name="USD_1_1_1_1_1">#N/A</definedName>
    <definedName name="USD_1_1_1_1_1_1">#N/A</definedName>
    <definedName name="USD_1_1_1_1_1_1_1">#N/A</definedName>
    <definedName name="USD_1_1_1_1_1_1_1_1">#N/A</definedName>
    <definedName name="USD_1_1_1_1_1_1_1_1_1">#N/A</definedName>
    <definedName name="USD_1_1_1_1_2">#N/A</definedName>
    <definedName name="USD_1_1_1_2">#N/A</definedName>
    <definedName name="USD_1_1_2">#N/A</definedName>
    <definedName name="USD_1_2">#N/A</definedName>
    <definedName name="USD_1_2_1">#N/A</definedName>
    <definedName name="USD_1_2_1_1">#N/A</definedName>
    <definedName name="USD_1_2_2">#N/A</definedName>
    <definedName name="USD_1_3">#N/A</definedName>
    <definedName name="USD_1_3_1">#N/A</definedName>
    <definedName name="USD_1_3_2">#N/A</definedName>
    <definedName name="USD_1_4">#N/A</definedName>
    <definedName name="USD_1_4_1">#N/A</definedName>
    <definedName name="USD_1_4_2">#N/A</definedName>
    <definedName name="USD_1_5">#N/A</definedName>
    <definedName name="USD_1_5_1">#N/A</definedName>
    <definedName name="USD_1_5_2">#N/A</definedName>
    <definedName name="USD_1_6">#N/A</definedName>
    <definedName name="USD_1_6_1">#N/A</definedName>
    <definedName name="USD_1_6_2">#N/A</definedName>
    <definedName name="USD_1_7">#N/A</definedName>
    <definedName name="USD_1_7_1">#N/A</definedName>
    <definedName name="USD_1_7_2">#N/A</definedName>
    <definedName name="USD_2">#N/A</definedName>
    <definedName name="USD_2_1">#N/A</definedName>
    <definedName name="USD_2_1_1">#N/A</definedName>
    <definedName name="USD_2_2">#N/A</definedName>
    <definedName name="USD_3">#N/A</definedName>
    <definedName name="USD_3_1">#N/A</definedName>
    <definedName name="USD_3_2">#N/A</definedName>
    <definedName name="USD_4">#N/A</definedName>
    <definedName name="USD_4_1">#N/A</definedName>
    <definedName name="USD_4_2">#N/A</definedName>
    <definedName name="USD_5">#N/A</definedName>
    <definedName name="USD_5_1">#N/A</definedName>
    <definedName name="USD_5_2">#N/A</definedName>
    <definedName name="USD_6">#N/A</definedName>
    <definedName name="USD_6_1">#N/A</definedName>
    <definedName name="USD_6_2">#N/A</definedName>
    <definedName name="USD_7">#N/A</definedName>
    <definedName name="USD_7_1">#N/A</definedName>
    <definedName name="USD_7_2">#N/A</definedName>
    <definedName name="__USD1">[24]KUR!$B$2</definedName>
    <definedName name="UYD">#N/A</definedName>
    <definedName name="UYD_1">#N/A</definedName>
    <definedName name="UYD_1_1">#N/A</definedName>
    <definedName name="UYD_1_1_1">#N/A</definedName>
    <definedName name="UYD_1_1_1_1">#N/A</definedName>
    <definedName name="UYD_1_1_1_1_1">#N/A</definedName>
    <definedName name="UYD_1_1_2">#N/A</definedName>
    <definedName name="UYD_1_2">#N/A</definedName>
    <definedName name="UYD_1_2_1">#N/A</definedName>
    <definedName name="UYD_1_2_1_1">#N/A</definedName>
    <definedName name="UYD_1_2_2">#N/A</definedName>
    <definedName name="UYD_1_3">#N/A</definedName>
    <definedName name="UYD_1_3_1">#N/A</definedName>
    <definedName name="UYD_1_3_2">#N/A</definedName>
    <definedName name="UYD_1_4">#N/A</definedName>
    <definedName name="UYD_1_4_1">#N/A</definedName>
    <definedName name="UYD_1_4_2">#N/A</definedName>
    <definedName name="UYD_1_5">#N/A</definedName>
    <definedName name="UYD_1_5_1">#N/A</definedName>
    <definedName name="UYD_1_5_2">#N/A</definedName>
    <definedName name="UYD_1_6">#N/A</definedName>
    <definedName name="UYD_1_6_1">#N/A</definedName>
    <definedName name="UYD_1_6_2">#N/A</definedName>
    <definedName name="UYD_1_7">#N/A</definedName>
    <definedName name="UYD_1_7_1">#N/A</definedName>
    <definedName name="UYD_1_7_2">#N/A</definedName>
    <definedName name="UYD_2">#N/A</definedName>
    <definedName name="UYD_2_1">#N/A</definedName>
    <definedName name="UYD_2_1_1">#N/A</definedName>
    <definedName name="UYD_2_2">#N/A</definedName>
    <definedName name="UYD_3">#N/A</definedName>
    <definedName name="UYD_3_1">#N/A</definedName>
    <definedName name="UYD_3_2">#N/A</definedName>
    <definedName name="UYD_4">#N/A</definedName>
    <definedName name="UYD_4_1">#N/A</definedName>
    <definedName name="UYD_4_2">#N/A</definedName>
    <definedName name="UYD_5">#N/A</definedName>
    <definedName name="UYD_5_1">#N/A</definedName>
    <definedName name="UYD_5_2">#N/A</definedName>
    <definedName name="UYD_6">#N/A</definedName>
    <definedName name="UYD_6_1">#N/A</definedName>
    <definedName name="UYD_6_2">#N/A</definedName>
    <definedName name="UYD_7">#N/A</definedName>
    <definedName name="UYD_7_1">#N/A</definedName>
    <definedName name="UYD_7_2">#N/A</definedName>
    <definedName name="Währung">#N/A</definedName>
    <definedName name="Währung_1">#N/A</definedName>
    <definedName name="Währung_2">#N/A</definedName>
    <definedName name="WE">NA()</definedName>
    <definedName name="WE_1">NA()</definedName>
    <definedName name="WE_2">#N/A</definedName>
    <definedName name="woran">#N/A</definedName>
    <definedName name="woran_1">#N/A</definedName>
    <definedName name="woran_1_1">#N/A</definedName>
    <definedName name="woran_1_1_1">#N/A</definedName>
    <definedName name="woran_1_2">#N/A</definedName>
    <definedName name="woran_2">#N/A</definedName>
    <definedName name="woran_2_1">#N/A</definedName>
    <definedName name="woran_2_1_1">#N/A</definedName>
    <definedName name="woran_2_2">#N/A</definedName>
    <definedName name="woran_3">#REF!</definedName>
    <definedName name="woran_3_1">#REF!</definedName>
    <definedName name="woran_3_2">"$#BAŞV!.#BAŞV!#BAŞV!"</definedName>
    <definedName name="X">#N/A</definedName>
    <definedName name="X_1">#N/A</definedName>
    <definedName name="x_1_1">NA()</definedName>
    <definedName name="x_1_1_1">NA()</definedName>
    <definedName name="x_1_2">#N/A</definedName>
    <definedName name="X_2">#N/A</definedName>
    <definedName name="XBŞ">#N/A</definedName>
    <definedName name="XBŞ_1">#N/A</definedName>
    <definedName name="XBŞ_2">#N/A</definedName>
    <definedName name="Y">#N/A</definedName>
    <definedName name="Y_1">#N/A</definedName>
    <definedName name="Y_2">#N/A</definedName>
    <definedName name="YAN">#N/A</definedName>
    <definedName name="YAN_1">#N/A</definedName>
    <definedName name="YAN_1_1">#N/A</definedName>
    <definedName name="YAN_1_1_1">#N/A</definedName>
    <definedName name="YAN_1_2">#N/A</definedName>
    <definedName name="YAN_2">#N/A</definedName>
    <definedName name="YAN_2_1">#N/A</definedName>
    <definedName name="YAN_2_1_1">#N/A</definedName>
    <definedName name="YAN_2_2">#N/A</definedName>
    <definedName name="YAN_3">#N/A</definedName>
    <definedName name="YAN_3_1">#N/A</definedName>
    <definedName name="YAN_3_2">#N/A</definedName>
    <definedName name="YAN_4">#N/A</definedName>
    <definedName name="YAN_4_1">#N/A</definedName>
    <definedName name="YAN_4_2">#N/A</definedName>
    <definedName name="YAN_5">#N/A</definedName>
    <definedName name="YAN_5_1">#N/A</definedName>
    <definedName name="YAN_5_2">#N/A</definedName>
    <definedName name="YAN_6">#N/A</definedName>
    <definedName name="YAN_6_1">#N/A</definedName>
    <definedName name="YAN_6_2">#N/A</definedName>
    <definedName name="YAN_7">#N/A</definedName>
    <definedName name="YAN_7_1">#N/A</definedName>
    <definedName name="YAN_7_2">#N/A</definedName>
    <definedName name="yangın">NA()</definedName>
    <definedName name="yangın_1">NA()</definedName>
    <definedName name="yangın_2">#N/A</definedName>
    <definedName name="_xlnm.Print_Area" localSheetId="0">İCMAL!$A$1:$H$26</definedName>
    <definedName name="_xlnm.Print_Area" localSheetId="1">'KEŞİF LİSTESİ'!$B$1:$CY$1625</definedName>
    <definedName name="YILI">#N/A</definedName>
    <definedName name="YILI_1">#REF!</definedName>
    <definedName name="YILI_2">"$#BAŞV!.#BAŞV!#BAŞV!"</definedName>
    <definedName name="Z">#N/A</definedName>
    <definedName name="Z_1">#N/A</definedName>
    <definedName name="Z_2">#N/A</definedName>
    <definedName name="Z_2EB60CF9_4527_471A_9132_411BC6B05E05_.wvu.PrintTitles">#N/A</definedName>
    <definedName name="Z_2EB60CF9_4527_471A_9132_411BC6B05E05_.wvu.PrintTitles_1">#N/A</definedName>
    <definedName name="za">#N/A</definedName>
    <definedName name="za_1">#N/A</definedName>
    <definedName name="za_1_1">#N/A</definedName>
    <definedName name="za_1_1_1">#N/A</definedName>
    <definedName name="za_1_1_1_1">#N/A</definedName>
    <definedName name="za_1_1_1_1_1">#N/A</definedName>
    <definedName name="za_1_1_2">#N/A</definedName>
    <definedName name="za_1_2">#N/A</definedName>
    <definedName name="za_1_2_1">#N/A</definedName>
    <definedName name="za_1_2_1_1">#N/A</definedName>
    <definedName name="za_1_2_2">#N/A</definedName>
    <definedName name="za_1_3">#N/A</definedName>
    <definedName name="za_1_3_1">#N/A</definedName>
    <definedName name="za_1_3_2">#N/A</definedName>
    <definedName name="za_1_4">#N/A</definedName>
    <definedName name="za_1_4_1">#N/A</definedName>
    <definedName name="za_1_4_2">#N/A</definedName>
    <definedName name="za_1_5">#N/A</definedName>
    <definedName name="za_1_5_1">#N/A</definedName>
    <definedName name="za_1_5_2">#N/A</definedName>
    <definedName name="za_1_6">#N/A</definedName>
    <definedName name="za_1_6_1">#N/A</definedName>
    <definedName name="za_1_6_2">#N/A</definedName>
    <definedName name="za_1_7">#N/A</definedName>
    <definedName name="za_1_7_1">#N/A</definedName>
    <definedName name="za_1_7_2">#N/A</definedName>
    <definedName name="za_2">#N/A</definedName>
    <definedName name="za_2_1">#N/A</definedName>
    <definedName name="za_2_1_1">#N/A</definedName>
    <definedName name="za_2_2">#N/A</definedName>
    <definedName name="za_3">#N/A</definedName>
    <definedName name="za_3_1">#N/A</definedName>
    <definedName name="za_3_2">#N/A</definedName>
    <definedName name="za_4">#N/A</definedName>
    <definedName name="za_4_1">#N/A</definedName>
    <definedName name="za_4_2">#N/A</definedName>
    <definedName name="za_5">#N/A</definedName>
    <definedName name="za_5_1">#N/A</definedName>
    <definedName name="za_5_2">#N/A</definedName>
    <definedName name="za_6">#N/A</definedName>
    <definedName name="za_6_1">#N/A</definedName>
    <definedName name="za_6_2">#N/A</definedName>
    <definedName name="za_7">#N/A</definedName>
    <definedName name="za_7_1">#N/A</definedName>
    <definedName name="za_7_2">#N/A</definedName>
    <definedName name="ZAFER">#N/A</definedName>
    <definedName name="ZAFER_1">#N/A</definedName>
    <definedName name="ZAFER_2">#N/A</definedName>
    <definedName name="Zeitrichtwert_Gesamt_Landesspez">#N/A</definedName>
    <definedName name="Zeitrichtwert_Gesamt_Landesspez_1">#N/A</definedName>
    <definedName name="Zeitrichtwert_Gesamt_Landesspez_2">#N/A</definedName>
    <definedName name="zk">NA()</definedName>
    <definedName name="zk_1">NA()</definedName>
    <definedName name="zk_1_1">NA()</definedName>
    <definedName name="zk_1_2">NA()</definedName>
    <definedName name="zk_1_3">NA()</definedName>
    <definedName name="zk_1_4">NA()</definedName>
    <definedName name="zk_1_5">NA()</definedName>
    <definedName name="zk_1_6">NA()</definedName>
    <definedName name="zk_1_7">NA()</definedName>
    <definedName name="zk_2">NA()</definedName>
    <definedName name="zk_3">NA()</definedName>
    <definedName name="zk_4">NA()</definedName>
    <definedName name="zk_5">NA()</definedName>
    <definedName name="zk_6">NA()</definedName>
    <definedName name="zk_7">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23" i="2" l="1"/>
  <c r="L823" i="2"/>
  <c r="K822" i="2"/>
  <c r="L822" i="2"/>
  <c r="K821" i="2"/>
  <c r="L821" i="2"/>
  <c r="K820" i="2"/>
  <c r="L820" i="2"/>
  <c r="K819" i="2"/>
  <c r="L819" i="2"/>
  <c r="K818" i="2"/>
  <c r="L818" i="2"/>
  <c r="K817" i="2"/>
  <c r="L817" i="2"/>
  <c r="K167" i="2"/>
  <c r="L167" i="2"/>
  <c r="K166" i="2"/>
  <c r="L166" i="2"/>
  <c r="L165" i="2"/>
  <c r="K165" i="2"/>
  <c r="K164" i="2"/>
  <c r="L164" i="2"/>
  <c r="K163" i="2"/>
  <c r="L163" i="2"/>
  <c r="K162" i="2"/>
  <c r="L162" i="2"/>
  <c r="G870" i="2"/>
  <c r="G869" i="2"/>
  <c r="J908" i="2"/>
  <c r="F5" i="1"/>
  <c r="K409" i="2"/>
  <c r="L409" i="2"/>
  <c r="K1598" i="2"/>
  <c r="L1598" i="2"/>
  <c r="K1597" i="2"/>
  <c r="L1597" i="2"/>
  <c r="K1596" i="2"/>
  <c r="L1596" i="2"/>
  <c r="K1595" i="2"/>
  <c r="L1595" i="2"/>
  <c r="K1594" i="2"/>
  <c r="L1594" i="2"/>
  <c r="K1593" i="2"/>
  <c r="L1593" i="2"/>
  <c r="K1592" i="2"/>
  <c r="L1592" i="2"/>
  <c r="K1591" i="2"/>
  <c r="L1591" i="2"/>
  <c r="K1590" i="2"/>
  <c r="L1590" i="2"/>
  <c r="K1589" i="2"/>
  <c r="L1589" i="2"/>
  <c r="K1588" i="2"/>
  <c r="L1588" i="2"/>
  <c r="K1587" i="2"/>
  <c r="L1587" i="2"/>
  <c r="K1586" i="2"/>
  <c r="L1586" i="2"/>
  <c r="K1585" i="2"/>
  <c r="L1585" i="2"/>
  <c r="K1584" i="2"/>
  <c r="L1584" i="2"/>
  <c r="K1583" i="2"/>
  <c r="L1583" i="2"/>
  <c r="K1567" i="2"/>
  <c r="L1567" i="2"/>
  <c r="J1621" i="2"/>
  <c r="F20" i="1"/>
  <c r="I1621" i="2"/>
  <c r="E20" i="1"/>
  <c r="H1621" i="2"/>
  <c r="D20" i="1"/>
  <c r="K1619" i="2"/>
  <c r="L1619" i="2"/>
  <c r="K1618" i="2"/>
  <c r="L1618" i="2"/>
  <c r="K1617" i="2"/>
  <c r="L1617" i="2"/>
  <c r="K1616" i="2"/>
  <c r="L1616" i="2"/>
  <c r="K1615" i="2"/>
  <c r="L1615" i="2"/>
  <c r="K1614" i="2"/>
  <c r="L1614" i="2"/>
  <c r="K1613" i="2"/>
  <c r="L1613" i="2"/>
  <c r="K1612" i="2"/>
  <c r="L1612" i="2"/>
  <c r="K1608" i="2"/>
  <c r="L1608" i="2"/>
  <c r="K1604" i="2"/>
  <c r="L1604" i="2"/>
  <c r="K1603" i="2"/>
  <c r="L1603" i="2"/>
  <c r="K1602" i="2"/>
  <c r="L1602" i="2"/>
  <c r="K1601" i="2"/>
  <c r="L1601" i="2"/>
  <c r="K1600" i="2"/>
  <c r="L1600" i="2"/>
  <c r="K1599" i="2"/>
  <c r="L1599" i="2"/>
  <c r="K1580" i="2"/>
  <c r="L1580" i="2"/>
  <c r="K1579" i="2"/>
  <c r="L1579" i="2"/>
  <c r="K1578" i="2"/>
  <c r="L1578" i="2"/>
  <c r="K1577" i="2"/>
  <c r="L1577" i="2"/>
  <c r="K1576" i="2"/>
  <c r="L1576" i="2"/>
  <c r="K1575" i="2"/>
  <c r="L1575" i="2"/>
  <c r="K1574" i="2"/>
  <c r="L1574" i="2"/>
  <c r="K1573" i="2"/>
  <c r="L1573" i="2"/>
  <c r="K1572" i="2"/>
  <c r="L1572" i="2"/>
  <c r="K1568" i="2"/>
  <c r="L1568" i="2"/>
  <c r="K1566" i="2"/>
  <c r="L1566" i="2"/>
  <c r="K1565" i="2"/>
  <c r="L1565" i="2"/>
  <c r="K1564" i="2"/>
  <c r="L1564" i="2"/>
  <c r="K1563" i="2"/>
  <c r="L1563" i="2"/>
  <c r="K1562" i="2"/>
  <c r="L1562" i="2"/>
  <c r="K1557" i="2"/>
  <c r="L1557" i="2"/>
  <c r="K1556" i="2"/>
  <c r="L1556" i="2"/>
  <c r="K1555" i="2"/>
  <c r="L1555" i="2"/>
  <c r="K1554" i="2"/>
  <c r="L1554" i="2"/>
  <c r="K1553" i="2"/>
  <c r="L1553" i="2"/>
  <c r="K1552" i="2"/>
  <c r="L1552" i="2"/>
  <c r="K1551" i="2"/>
  <c r="L1551" i="2"/>
  <c r="K1550" i="2"/>
  <c r="L1550" i="2"/>
  <c r="K1549" i="2"/>
  <c r="L1549" i="2"/>
  <c r="K1548" i="2"/>
  <c r="L1548" i="2"/>
  <c r="K1547" i="2"/>
  <c r="L1547" i="2"/>
  <c r="K1546" i="2"/>
  <c r="L1546" i="2"/>
  <c r="K1542" i="2"/>
  <c r="L1542" i="2"/>
  <c r="K1541" i="2"/>
  <c r="L1541" i="2"/>
  <c r="K1540" i="2"/>
  <c r="L1540" i="2"/>
  <c r="K1539" i="2"/>
  <c r="L1539" i="2"/>
  <c r="K1538" i="2"/>
  <c r="L1538" i="2"/>
  <c r="K1537" i="2"/>
  <c r="L1537" i="2"/>
  <c r="K1536" i="2"/>
  <c r="L1536" i="2"/>
  <c r="K1535" i="2"/>
  <c r="L1535" i="2"/>
  <c r="K1534" i="2"/>
  <c r="L1534" i="2"/>
  <c r="K1533" i="2"/>
  <c r="L1533" i="2"/>
  <c r="K1532" i="2"/>
  <c r="L1532" i="2"/>
  <c r="K1531" i="2"/>
  <c r="L1531" i="2"/>
  <c r="K1530" i="2"/>
  <c r="L1530" i="2"/>
  <c r="K1529" i="2"/>
  <c r="L1529" i="2"/>
  <c r="K1528" i="2"/>
  <c r="L1528" i="2"/>
  <c r="K1527" i="2"/>
  <c r="L1527" i="2"/>
  <c r="K1526" i="2"/>
  <c r="L1526" i="2"/>
  <c r="K1525" i="2"/>
  <c r="L1525" i="2"/>
  <c r="K1524" i="2"/>
  <c r="L1524" i="2"/>
  <c r="K1523" i="2"/>
  <c r="L1523" i="2"/>
  <c r="K1519" i="2"/>
  <c r="L1519" i="2"/>
  <c r="K1518" i="2"/>
  <c r="L1518" i="2"/>
  <c r="K1517" i="2"/>
  <c r="L1517" i="2"/>
  <c r="K1516" i="2"/>
  <c r="L1516" i="2"/>
  <c r="K1515" i="2"/>
  <c r="L1515" i="2"/>
  <c r="K1514" i="2"/>
  <c r="L1514" i="2"/>
  <c r="K1513" i="2"/>
  <c r="L1513" i="2"/>
  <c r="K1512" i="2"/>
  <c r="L1512" i="2"/>
  <c r="K1511" i="2"/>
  <c r="L1511" i="2"/>
  <c r="K1510" i="2"/>
  <c r="L1510" i="2"/>
  <c r="K1509" i="2"/>
  <c r="L1509" i="2"/>
  <c r="K1508" i="2"/>
  <c r="L1508" i="2"/>
  <c r="K1507" i="2"/>
  <c r="L1507" i="2"/>
  <c r="K1506" i="2"/>
  <c r="L1506" i="2"/>
  <c r="K1505" i="2"/>
  <c r="L1505" i="2"/>
  <c r="K1502" i="2"/>
  <c r="L1502" i="2"/>
  <c r="K1501" i="2"/>
  <c r="L1501" i="2"/>
  <c r="K1500" i="2"/>
  <c r="L1500" i="2"/>
  <c r="K1499" i="2"/>
  <c r="L1499" i="2"/>
  <c r="K1498" i="2"/>
  <c r="L1498" i="2"/>
  <c r="K1497" i="2"/>
  <c r="L1497" i="2"/>
  <c r="K1496" i="2"/>
  <c r="L1496" i="2"/>
  <c r="K1495" i="2"/>
  <c r="L1495" i="2"/>
  <c r="K1494" i="2"/>
  <c r="L1494" i="2"/>
  <c r="K1493" i="2"/>
  <c r="L1493" i="2"/>
  <c r="K1492" i="2"/>
  <c r="L1492" i="2"/>
  <c r="K1491" i="2"/>
  <c r="L1491" i="2"/>
  <c r="K1490" i="2"/>
  <c r="L1490" i="2"/>
  <c r="K1489" i="2"/>
  <c r="L1489" i="2"/>
  <c r="K1488" i="2"/>
  <c r="L1488" i="2"/>
  <c r="K1484" i="2"/>
  <c r="L1484" i="2"/>
  <c r="K1483" i="2"/>
  <c r="L1483" i="2"/>
  <c r="K1482" i="2"/>
  <c r="L1482" i="2"/>
  <c r="K1481" i="2"/>
  <c r="L1481" i="2"/>
  <c r="K1480" i="2"/>
  <c r="L1480" i="2"/>
  <c r="K1479" i="2"/>
  <c r="L1479" i="2"/>
  <c r="K1478" i="2"/>
  <c r="L1478" i="2"/>
  <c r="K1477" i="2"/>
  <c r="L1477" i="2"/>
  <c r="K1476" i="2"/>
  <c r="L1476" i="2"/>
  <c r="K1475" i="2"/>
  <c r="L1475" i="2"/>
  <c r="K1474" i="2"/>
  <c r="L1474" i="2"/>
  <c r="K1473" i="2"/>
  <c r="L1473" i="2"/>
  <c r="K1472" i="2"/>
  <c r="L1472" i="2"/>
  <c r="K1471" i="2"/>
  <c r="L1471" i="2"/>
  <c r="K1470" i="2"/>
  <c r="L1470" i="2"/>
  <c r="K1469" i="2"/>
  <c r="L1469" i="2"/>
  <c r="K1468" i="2"/>
  <c r="L1468" i="2"/>
  <c r="K1467" i="2"/>
  <c r="L1467" i="2"/>
  <c r="K1466" i="2"/>
  <c r="L1466" i="2"/>
  <c r="K1465" i="2"/>
  <c r="L1465" i="2"/>
  <c r="K1464" i="2"/>
  <c r="L1464" i="2"/>
  <c r="K1463" i="2"/>
  <c r="L1463" i="2"/>
  <c r="K1462" i="2"/>
  <c r="L1462" i="2"/>
  <c r="K1461" i="2"/>
  <c r="L1461" i="2"/>
  <c r="K1460" i="2"/>
  <c r="L1460" i="2"/>
  <c r="K1459" i="2"/>
  <c r="L1459" i="2"/>
  <c r="K1458" i="2"/>
  <c r="L1458" i="2"/>
  <c r="K1457" i="2"/>
  <c r="L1457" i="2"/>
  <c r="K1456" i="2"/>
  <c r="L1456" i="2"/>
  <c r="K1455" i="2"/>
  <c r="L1455" i="2"/>
  <c r="K1431" i="2"/>
  <c r="L1431" i="2"/>
  <c r="K1432" i="2"/>
  <c r="L1432" i="2"/>
  <c r="K1433" i="2"/>
  <c r="L1433" i="2"/>
  <c r="K1434" i="2"/>
  <c r="L1434" i="2"/>
  <c r="K1435" i="2"/>
  <c r="L1435" i="2"/>
  <c r="K1436" i="2"/>
  <c r="L1436" i="2"/>
  <c r="K1437" i="2"/>
  <c r="L1437" i="2"/>
  <c r="K1438" i="2"/>
  <c r="L1438" i="2"/>
  <c r="K1439" i="2"/>
  <c r="L1439" i="2"/>
  <c r="K1440" i="2"/>
  <c r="L1440" i="2"/>
  <c r="K1441" i="2"/>
  <c r="L1441" i="2"/>
  <c r="K1442" i="2"/>
  <c r="L1442" i="2"/>
  <c r="K1443" i="2"/>
  <c r="L1443" i="2"/>
  <c r="K1444" i="2"/>
  <c r="L1444" i="2"/>
  <c r="K1445" i="2"/>
  <c r="L1445" i="2"/>
  <c r="K1446" i="2"/>
  <c r="L1446" i="2"/>
  <c r="K1447" i="2"/>
  <c r="L1447" i="2"/>
  <c r="K1448" i="2"/>
  <c r="L1448" i="2"/>
  <c r="K1449" i="2"/>
  <c r="L1449" i="2"/>
  <c r="K1450" i="2"/>
  <c r="L1450" i="2"/>
  <c r="K1451" i="2"/>
  <c r="L1451" i="2"/>
  <c r="K1400" i="2"/>
  <c r="L1400" i="2"/>
  <c r="K1401" i="2"/>
  <c r="L1401" i="2"/>
  <c r="K1402" i="2"/>
  <c r="L1402" i="2"/>
  <c r="K1403" i="2"/>
  <c r="L1403" i="2"/>
  <c r="K1404" i="2"/>
  <c r="L1404" i="2"/>
  <c r="K1405" i="2"/>
  <c r="L1405" i="2"/>
  <c r="K1406" i="2"/>
  <c r="L1406" i="2"/>
  <c r="K1407" i="2"/>
  <c r="L1407" i="2"/>
  <c r="K1408" i="2"/>
  <c r="L1408" i="2"/>
  <c r="K1409" i="2"/>
  <c r="L1409" i="2"/>
  <c r="K1410" i="2"/>
  <c r="L1410" i="2"/>
  <c r="K1411" i="2"/>
  <c r="L1411" i="2"/>
  <c r="K1412" i="2"/>
  <c r="L1412" i="2"/>
  <c r="K1414" i="2"/>
  <c r="L1414" i="2"/>
  <c r="K1415" i="2"/>
  <c r="L1415" i="2"/>
  <c r="K1416" i="2"/>
  <c r="L1416" i="2"/>
  <c r="K1377" i="2"/>
  <c r="L1377" i="2"/>
  <c r="K1378" i="2"/>
  <c r="L1378" i="2"/>
  <c r="K1379" i="2"/>
  <c r="L1379" i="2"/>
  <c r="K1380" i="2"/>
  <c r="L1380" i="2"/>
  <c r="K1381" i="2"/>
  <c r="L1381" i="2"/>
  <c r="K1382" i="2"/>
  <c r="L1382" i="2"/>
  <c r="K1383" i="2"/>
  <c r="L1383" i="2"/>
  <c r="K1384" i="2"/>
  <c r="L1384" i="2"/>
  <c r="K1386" i="2"/>
  <c r="L1386" i="2"/>
  <c r="K1387" i="2"/>
  <c r="L1387" i="2"/>
  <c r="K1388" i="2"/>
  <c r="L1388" i="2"/>
  <c r="K1389" i="2"/>
  <c r="L1389" i="2"/>
  <c r="K1390" i="2"/>
  <c r="L1390" i="2"/>
  <c r="K1391" i="2"/>
  <c r="L1391" i="2"/>
  <c r="K1393" i="2"/>
  <c r="L1393" i="2"/>
  <c r="K1352" i="2"/>
  <c r="L1352" i="2"/>
  <c r="K1353" i="2"/>
  <c r="L1353" i="2"/>
  <c r="K1354" i="2"/>
  <c r="L1354" i="2"/>
  <c r="K1355" i="2"/>
  <c r="L1355" i="2"/>
  <c r="K1356" i="2"/>
  <c r="L1356" i="2"/>
  <c r="K1357" i="2"/>
  <c r="L1357" i="2"/>
  <c r="K1358" i="2"/>
  <c r="L1358" i="2"/>
  <c r="K1359" i="2"/>
  <c r="L1359" i="2"/>
  <c r="K1360" i="2"/>
  <c r="L1360" i="2"/>
  <c r="K1361" i="2"/>
  <c r="L1361" i="2"/>
  <c r="K1363" i="2"/>
  <c r="L1363" i="2"/>
  <c r="K1364" i="2"/>
  <c r="L1364" i="2"/>
  <c r="K1365" i="2"/>
  <c r="L1365" i="2"/>
  <c r="K1366" i="2"/>
  <c r="L1366" i="2"/>
  <c r="K1367" i="2"/>
  <c r="L1367" i="2"/>
  <c r="K1368" i="2"/>
  <c r="L1368" i="2"/>
  <c r="K1370" i="2"/>
  <c r="L1370" i="2"/>
  <c r="K1371" i="2"/>
  <c r="L1371" i="2"/>
  <c r="K1309" i="2"/>
  <c r="L1309" i="2"/>
  <c r="K1310" i="2"/>
  <c r="L1310" i="2"/>
  <c r="K1311" i="2"/>
  <c r="L1311" i="2"/>
  <c r="K1312" i="2"/>
  <c r="L1312" i="2"/>
  <c r="K1313" i="2"/>
  <c r="L1313" i="2"/>
  <c r="K1314" i="2"/>
  <c r="L1314" i="2"/>
  <c r="K1315" i="2"/>
  <c r="L1315" i="2"/>
  <c r="K1316" i="2"/>
  <c r="L1316" i="2"/>
  <c r="K1317" i="2"/>
  <c r="L1317" i="2"/>
  <c r="K1318" i="2"/>
  <c r="L1318" i="2"/>
  <c r="K1319" i="2"/>
  <c r="L1319" i="2"/>
  <c r="K1320" i="2"/>
  <c r="L1320" i="2"/>
  <c r="K1321" i="2"/>
  <c r="L1321" i="2"/>
  <c r="K1322" i="2"/>
  <c r="L1322" i="2"/>
  <c r="K1323" i="2"/>
  <c r="L1323" i="2"/>
  <c r="K1324" i="2"/>
  <c r="L1324" i="2"/>
  <c r="K1325" i="2"/>
  <c r="L1325" i="2"/>
  <c r="K1326" i="2"/>
  <c r="L1326" i="2"/>
  <c r="K1327" i="2"/>
  <c r="L1327" i="2"/>
  <c r="K1328" i="2"/>
  <c r="L1328" i="2"/>
  <c r="K1329" i="2"/>
  <c r="L1329" i="2"/>
  <c r="K1330" i="2"/>
  <c r="L1330" i="2"/>
  <c r="K1331" i="2"/>
  <c r="L1331" i="2"/>
  <c r="K1332" i="2"/>
  <c r="L1332" i="2"/>
  <c r="K1333" i="2"/>
  <c r="L1333" i="2"/>
  <c r="K1334" i="2"/>
  <c r="L1334" i="2"/>
  <c r="K1335" i="2"/>
  <c r="L1335" i="2"/>
  <c r="K1336" i="2"/>
  <c r="L1336" i="2"/>
  <c r="K1337" i="2"/>
  <c r="L1337" i="2"/>
  <c r="K1338" i="2"/>
  <c r="L1338" i="2"/>
  <c r="K1340" i="2"/>
  <c r="L1340" i="2"/>
  <c r="K1341" i="2"/>
  <c r="L1341" i="2"/>
  <c r="K1342" i="2"/>
  <c r="L1342" i="2"/>
  <c r="K1343" i="2"/>
  <c r="L1343" i="2"/>
  <c r="K1344" i="2"/>
  <c r="L1344" i="2"/>
  <c r="K1275" i="2"/>
  <c r="L1275" i="2"/>
  <c r="K1276" i="2"/>
  <c r="L1276" i="2"/>
  <c r="K1277" i="2"/>
  <c r="L1277" i="2"/>
  <c r="K1278" i="2"/>
  <c r="L1278" i="2"/>
  <c r="K1279" i="2"/>
  <c r="L1279" i="2"/>
  <c r="K1280" i="2"/>
  <c r="L1280" i="2"/>
  <c r="K1281" i="2"/>
  <c r="L1281" i="2"/>
  <c r="K1282" i="2"/>
  <c r="L1282" i="2"/>
  <c r="K1283" i="2"/>
  <c r="L1283" i="2"/>
  <c r="K1284" i="2"/>
  <c r="L1284" i="2"/>
  <c r="K1285" i="2"/>
  <c r="L1285" i="2"/>
  <c r="K1286" i="2"/>
  <c r="L1286" i="2"/>
  <c r="K1287" i="2"/>
  <c r="L1287" i="2"/>
  <c r="K1288" i="2"/>
  <c r="L1288" i="2"/>
  <c r="K1289" i="2"/>
  <c r="L1289" i="2"/>
  <c r="K1290" i="2"/>
  <c r="L1290" i="2"/>
  <c r="K1292" i="2"/>
  <c r="L1292" i="2"/>
  <c r="K1293" i="2"/>
  <c r="L1293" i="2"/>
  <c r="K1294" i="2"/>
  <c r="L1294" i="2"/>
  <c r="K1295" i="2"/>
  <c r="L1295" i="2"/>
  <c r="K1296" i="2"/>
  <c r="L1296" i="2"/>
  <c r="K1298" i="2"/>
  <c r="L1298" i="2"/>
  <c r="K1299" i="2"/>
  <c r="L1299" i="2"/>
  <c r="K1300" i="2"/>
  <c r="L1300" i="2"/>
  <c r="K1242" i="2"/>
  <c r="L1242" i="2"/>
  <c r="K1243" i="2"/>
  <c r="L1243" i="2"/>
  <c r="K1244" i="2"/>
  <c r="L1244" i="2"/>
  <c r="K1245" i="2"/>
  <c r="L1245" i="2"/>
  <c r="K1246" i="2"/>
  <c r="L1246" i="2"/>
  <c r="K1247" i="2"/>
  <c r="L1247" i="2"/>
  <c r="K1248" i="2"/>
  <c r="L1248" i="2"/>
  <c r="K1249" i="2"/>
  <c r="L1249" i="2"/>
  <c r="K1156" i="2"/>
  <c r="L1156" i="2"/>
  <c r="C9" i="1"/>
  <c r="K860" i="2"/>
  <c r="L860" i="2"/>
  <c r="K859" i="2"/>
  <c r="L859" i="2"/>
  <c r="K914" i="2"/>
  <c r="L914" i="2"/>
  <c r="K915" i="2"/>
  <c r="L915" i="2"/>
  <c r="K916" i="2"/>
  <c r="L916" i="2"/>
  <c r="K917" i="2"/>
  <c r="L917" i="2"/>
  <c r="K918" i="2"/>
  <c r="L918" i="2"/>
  <c r="K919" i="2"/>
  <c r="L919" i="2"/>
  <c r="K920" i="2"/>
  <c r="L920" i="2"/>
  <c r="K921" i="2"/>
  <c r="L921" i="2"/>
  <c r="K922" i="2"/>
  <c r="L922" i="2"/>
  <c r="K923" i="2"/>
  <c r="L923" i="2"/>
  <c r="K924" i="2"/>
  <c r="L924" i="2"/>
  <c r="K925" i="2"/>
  <c r="K926" i="2"/>
  <c r="L926" i="2"/>
  <c r="K927" i="2"/>
  <c r="L927" i="2"/>
  <c r="K928" i="2"/>
  <c r="L928" i="2"/>
  <c r="K929" i="2"/>
  <c r="L929" i="2"/>
  <c r="K930" i="2"/>
  <c r="L930" i="2"/>
  <c r="K931" i="2"/>
  <c r="L931" i="2"/>
  <c r="K932" i="2"/>
  <c r="L932" i="2"/>
  <c r="K933" i="2"/>
  <c r="L933" i="2"/>
  <c r="K934" i="2"/>
  <c r="L934" i="2"/>
  <c r="K935" i="2"/>
  <c r="L935" i="2"/>
  <c r="K936" i="2"/>
  <c r="L936" i="2"/>
  <c r="K937" i="2"/>
  <c r="L937" i="2"/>
  <c r="K938" i="2"/>
  <c r="L938" i="2"/>
  <c r="K939" i="2"/>
  <c r="L939" i="2"/>
  <c r="K940" i="2"/>
  <c r="L940" i="2"/>
  <c r="K941" i="2"/>
  <c r="L941" i="2"/>
  <c r="K942" i="2"/>
  <c r="L942" i="2"/>
  <c r="K943" i="2"/>
  <c r="L943" i="2"/>
  <c r="K944" i="2"/>
  <c r="L944" i="2"/>
  <c r="K945" i="2"/>
  <c r="L945" i="2"/>
  <c r="K946" i="2"/>
  <c r="L946" i="2"/>
  <c r="K947" i="2"/>
  <c r="L947" i="2"/>
  <c r="K948" i="2"/>
  <c r="L948" i="2"/>
  <c r="K949" i="2"/>
  <c r="L949" i="2"/>
  <c r="K950" i="2"/>
  <c r="L950" i="2"/>
  <c r="K951" i="2"/>
  <c r="L951" i="2"/>
  <c r="K952" i="2"/>
  <c r="L952" i="2"/>
  <c r="K953" i="2"/>
  <c r="L953" i="2"/>
  <c r="K954" i="2"/>
  <c r="L954" i="2"/>
  <c r="K955" i="2"/>
  <c r="L955" i="2"/>
  <c r="K956" i="2"/>
  <c r="L956" i="2"/>
  <c r="K957" i="2"/>
  <c r="L957" i="2"/>
  <c r="K958" i="2"/>
  <c r="L958" i="2"/>
  <c r="K959" i="2"/>
  <c r="L959" i="2"/>
  <c r="K960" i="2"/>
  <c r="L960" i="2"/>
  <c r="K961" i="2"/>
  <c r="L961" i="2"/>
  <c r="K962" i="2"/>
  <c r="L962" i="2"/>
  <c r="K963" i="2"/>
  <c r="L963" i="2"/>
  <c r="K964" i="2"/>
  <c r="L964" i="2"/>
  <c r="K965" i="2"/>
  <c r="L965" i="2"/>
  <c r="K966" i="2"/>
  <c r="L966" i="2"/>
  <c r="K967" i="2"/>
  <c r="L967" i="2"/>
  <c r="K968" i="2"/>
  <c r="L968" i="2"/>
  <c r="K969" i="2"/>
  <c r="L969" i="2"/>
  <c r="K970" i="2"/>
  <c r="L970" i="2"/>
  <c r="K971" i="2"/>
  <c r="L971" i="2"/>
  <c r="J846" i="2"/>
  <c r="F4" i="1"/>
  <c r="I846" i="2"/>
  <c r="E4" i="1"/>
  <c r="H846" i="2"/>
  <c r="D4" i="1"/>
  <c r="K699" i="2"/>
  <c r="L699" i="2"/>
  <c r="K700" i="2"/>
  <c r="L700" i="2"/>
  <c r="K701" i="2"/>
  <c r="L701" i="2"/>
  <c r="K702" i="2"/>
  <c r="L702" i="2"/>
  <c r="K703" i="2"/>
  <c r="L703" i="2"/>
  <c r="K704" i="2"/>
  <c r="L704" i="2"/>
  <c r="K705" i="2"/>
  <c r="L705" i="2"/>
  <c r="K671" i="2"/>
  <c r="L671" i="2"/>
  <c r="K672" i="2"/>
  <c r="L672" i="2"/>
  <c r="K668" i="2"/>
  <c r="L668" i="2"/>
  <c r="K632" i="2"/>
  <c r="L632" i="2"/>
  <c r="K633" i="2"/>
  <c r="L633" i="2"/>
  <c r="K634" i="2"/>
  <c r="L634" i="2"/>
  <c r="K630" i="2"/>
  <c r="L630" i="2"/>
  <c r="K595" i="2"/>
  <c r="L595" i="2"/>
  <c r="K558" i="2"/>
  <c r="L558" i="2"/>
  <c r="K529" i="2"/>
  <c r="L529" i="2"/>
  <c r="K528" i="2"/>
  <c r="L528" i="2"/>
  <c r="K527" i="2"/>
  <c r="L527" i="2"/>
  <c r="K495" i="2"/>
  <c r="L495" i="2"/>
  <c r="K466" i="2"/>
  <c r="L466" i="2"/>
  <c r="K465" i="2"/>
  <c r="L465" i="2"/>
  <c r="K464" i="2"/>
  <c r="L464" i="2"/>
  <c r="K454" i="2"/>
  <c r="L454" i="2"/>
  <c r="K453" i="2"/>
  <c r="L453" i="2"/>
  <c r="K452" i="2"/>
  <c r="L452" i="2"/>
  <c r="K451" i="2"/>
  <c r="L451" i="2"/>
  <c r="K433" i="2"/>
  <c r="L433" i="2"/>
  <c r="K432" i="2"/>
  <c r="L432" i="2"/>
  <c r="K431" i="2"/>
  <c r="L431" i="2"/>
  <c r="K401" i="2"/>
  <c r="L401" i="2"/>
  <c r="K400" i="2"/>
  <c r="L400" i="2"/>
  <c r="K399" i="2"/>
  <c r="L399" i="2"/>
  <c r="K398" i="2"/>
  <c r="L398" i="2"/>
  <c r="K377" i="2"/>
  <c r="L377" i="2"/>
  <c r="K376" i="2"/>
  <c r="L376" i="2"/>
  <c r="K375" i="2"/>
  <c r="L375" i="2"/>
  <c r="K374" i="2"/>
  <c r="L374" i="2"/>
  <c r="K352" i="2"/>
  <c r="L352" i="2"/>
  <c r="K351" i="2"/>
  <c r="L351" i="2"/>
  <c r="K350" i="2"/>
  <c r="L350" i="2"/>
  <c r="K349" i="2"/>
  <c r="L349" i="2"/>
  <c r="K327" i="2"/>
  <c r="L327" i="2"/>
  <c r="K326" i="2"/>
  <c r="L326" i="2"/>
  <c r="K325" i="2"/>
  <c r="L325" i="2"/>
  <c r="K324" i="2"/>
  <c r="L324" i="2"/>
  <c r="K303" i="2"/>
  <c r="L303" i="2"/>
  <c r="K302" i="2"/>
  <c r="L302" i="2"/>
  <c r="K301" i="2"/>
  <c r="L301" i="2"/>
  <c r="K282" i="2"/>
  <c r="L282" i="2"/>
  <c r="K283" i="2"/>
  <c r="L283" i="2"/>
  <c r="K281" i="2"/>
  <c r="L281" i="2"/>
  <c r="K280" i="2"/>
  <c r="L280" i="2"/>
  <c r="K279" i="2"/>
  <c r="L279" i="2"/>
  <c r="K259" i="2"/>
  <c r="L259" i="2"/>
  <c r="K258" i="2"/>
  <c r="L258" i="2"/>
  <c r="K257" i="2"/>
  <c r="L257" i="2"/>
  <c r="K243" i="2"/>
  <c r="L243" i="2"/>
  <c r="K242" i="2"/>
  <c r="L242" i="2"/>
  <c r="K241" i="2"/>
  <c r="L241" i="2"/>
  <c r="K227" i="2"/>
  <c r="L227" i="2"/>
  <c r="K226" i="2"/>
  <c r="L226" i="2"/>
  <c r="K225" i="2"/>
  <c r="L225" i="2"/>
  <c r="K211" i="2"/>
  <c r="L211" i="2"/>
  <c r="K210" i="2"/>
  <c r="L210" i="2"/>
  <c r="K209" i="2"/>
  <c r="L209" i="2"/>
  <c r="K195" i="2"/>
  <c r="L195" i="2"/>
  <c r="K194" i="2"/>
  <c r="L194" i="2"/>
  <c r="K193" i="2"/>
  <c r="L193" i="2"/>
  <c r="K192" i="2"/>
  <c r="L192" i="2"/>
  <c r="K168" i="2"/>
  <c r="L168" i="2"/>
  <c r="K169" i="2"/>
  <c r="L169" i="2"/>
  <c r="K170" i="2"/>
  <c r="L170" i="2"/>
  <c r="K171" i="2"/>
  <c r="L171" i="2"/>
  <c r="K136" i="2"/>
  <c r="L136" i="2"/>
  <c r="K135" i="2"/>
  <c r="L135" i="2"/>
  <c r="K134" i="2"/>
  <c r="L134" i="2"/>
  <c r="K117" i="2"/>
  <c r="L117" i="2"/>
  <c r="K118" i="2"/>
  <c r="L118" i="2"/>
  <c r="K119" i="2"/>
  <c r="L119" i="2"/>
  <c r="K120" i="2"/>
  <c r="L120" i="2"/>
  <c r="K94" i="2"/>
  <c r="L94" i="2"/>
  <c r="K95" i="2"/>
  <c r="L95" i="2"/>
  <c r="K96" i="2"/>
  <c r="L96" i="2"/>
  <c r="K97" i="2"/>
  <c r="L97" i="2"/>
  <c r="K98" i="2"/>
  <c r="L98" i="2"/>
  <c r="K99" i="2"/>
  <c r="L99" i="2"/>
  <c r="K100" i="2"/>
  <c r="L100" i="2"/>
  <c r="K101" i="2"/>
  <c r="L101" i="2"/>
  <c r="K83" i="2"/>
  <c r="L83" i="2"/>
  <c r="K84" i="2"/>
  <c r="L84" i="2"/>
  <c r="K85" i="2"/>
  <c r="L85" i="2"/>
  <c r="K67" i="2"/>
  <c r="L67" i="2"/>
  <c r="K68" i="2"/>
  <c r="L68" i="2"/>
  <c r="K69" i="2"/>
  <c r="L69" i="2"/>
  <c r="K70" i="2"/>
  <c r="L70" i="2"/>
  <c r="K37" i="2"/>
  <c r="L37" i="2"/>
  <c r="K38" i="2"/>
  <c r="L38" i="2"/>
  <c r="K39" i="2"/>
  <c r="L39" i="2"/>
  <c r="K40" i="2"/>
  <c r="L40" i="2"/>
  <c r="K41" i="2"/>
  <c r="L41" i="2"/>
  <c r="K844" i="2"/>
  <c r="L844" i="2"/>
  <c r="K843" i="2"/>
  <c r="L843" i="2"/>
  <c r="K842" i="2"/>
  <c r="L842" i="2"/>
  <c r="K841" i="2"/>
  <c r="L841" i="2"/>
  <c r="K840" i="2"/>
  <c r="L840" i="2"/>
  <c r="K796" i="2"/>
  <c r="L796" i="2"/>
  <c r="K801" i="2"/>
  <c r="L801" i="2"/>
  <c r="K800" i="2"/>
  <c r="L800" i="2"/>
  <c r="K799" i="2"/>
  <c r="L799" i="2"/>
  <c r="K798" i="2"/>
  <c r="L798" i="2"/>
  <c r="K797" i="2"/>
  <c r="L797" i="2"/>
  <c r="K808" i="2"/>
  <c r="L808" i="2"/>
  <c r="K807" i="2"/>
  <c r="L807" i="2"/>
  <c r="K803" i="2"/>
  <c r="L803" i="2"/>
  <c r="K802" i="2"/>
  <c r="L802" i="2"/>
  <c r="K813" i="2"/>
  <c r="L813" i="2"/>
  <c r="K812" i="2"/>
  <c r="L812" i="2"/>
  <c r="K811" i="2"/>
  <c r="L811" i="2"/>
  <c r="K810" i="2"/>
  <c r="L810" i="2"/>
  <c r="K809" i="2"/>
  <c r="L809" i="2"/>
  <c r="K831" i="2"/>
  <c r="L831" i="2"/>
  <c r="K830" i="2"/>
  <c r="L830" i="2"/>
  <c r="K829" i="2"/>
  <c r="L829" i="2"/>
  <c r="K828" i="2"/>
  <c r="L828" i="2"/>
  <c r="K827" i="2"/>
  <c r="L827" i="2"/>
  <c r="K836" i="2"/>
  <c r="L836" i="2"/>
  <c r="K835" i="2"/>
  <c r="L835" i="2"/>
  <c r="K834" i="2"/>
  <c r="L834" i="2"/>
  <c r="K833" i="2"/>
  <c r="L833" i="2"/>
  <c r="K832" i="2"/>
  <c r="L832" i="2"/>
  <c r="K711" i="2"/>
  <c r="L711" i="2"/>
  <c r="K712" i="2"/>
  <c r="L712" i="2"/>
  <c r="K651" i="2"/>
  <c r="L651" i="2"/>
  <c r="K650" i="2"/>
  <c r="L650" i="2"/>
  <c r="K649" i="2"/>
  <c r="L649" i="2"/>
  <c r="K648" i="2"/>
  <c r="L648" i="2"/>
  <c r="K647" i="2"/>
  <c r="L647" i="2"/>
  <c r="K646" i="2"/>
  <c r="L646" i="2"/>
  <c r="K645" i="2"/>
  <c r="L645" i="2"/>
  <c r="K644" i="2"/>
  <c r="L644" i="2"/>
  <c r="K643" i="2"/>
  <c r="L643" i="2"/>
  <c r="K642" i="2"/>
  <c r="L642" i="2"/>
  <c r="K641" i="2"/>
  <c r="L641" i="2"/>
  <c r="K640" i="2"/>
  <c r="L640" i="2"/>
  <c r="K639" i="2"/>
  <c r="L639" i="2"/>
  <c r="K638" i="2"/>
  <c r="L638" i="2"/>
  <c r="K667" i="2"/>
  <c r="L667" i="2"/>
  <c r="K666" i="2"/>
  <c r="L666" i="2"/>
  <c r="K665" i="2"/>
  <c r="L665" i="2"/>
  <c r="K664" i="2"/>
  <c r="L664" i="2"/>
  <c r="K663" i="2"/>
  <c r="L663" i="2"/>
  <c r="K662" i="2"/>
  <c r="L662" i="2"/>
  <c r="K661" i="2"/>
  <c r="L661" i="2"/>
  <c r="K660" i="2"/>
  <c r="L660" i="2"/>
  <c r="K659" i="2"/>
  <c r="L659" i="2"/>
  <c r="K658" i="2"/>
  <c r="L658" i="2"/>
  <c r="K657" i="2"/>
  <c r="L657" i="2"/>
  <c r="K656" i="2"/>
  <c r="L656" i="2"/>
  <c r="K655" i="2"/>
  <c r="L655" i="2"/>
  <c r="K654" i="2"/>
  <c r="L654" i="2"/>
  <c r="K653" i="2"/>
  <c r="L653" i="2"/>
  <c r="K652" i="2"/>
  <c r="L652" i="2"/>
  <c r="K683" i="2"/>
  <c r="L683" i="2"/>
  <c r="K682" i="2"/>
  <c r="L682" i="2"/>
  <c r="K681" i="2"/>
  <c r="L681" i="2"/>
  <c r="K680" i="2"/>
  <c r="L680" i="2"/>
  <c r="K679" i="2"/>
  <c r="L679" i="2"/>
  <c r="K678" i="2"/>
  <c r="L678" i="2"/>
  <c r="K677" i="2"/>
  <c r="L677" i="2"/>
  <c r="K676" i="2"/>
  <c r="L676" i="2"/>
  <c r="K670" i="2"/>
  <c r="L670" i="2"/>
  <c r="K669" i="2"/>
  <c r="L669" i="2"/>
  <c r="K698" i="2"/>
  <c r="L698" i="2"/>
  <c r="K697" i="2"/>
  <c r="L697" i="2"/>
  <c r="K696" i="2"/>
  <c r="L696" i="2"/>
  <c r="K695" i="2"/>
  <c r="L695" i="2"/>
  <c r="K694" i="2"/>
  <c r="L694" i="2"/>
  <c r="K693" i="2"/>
  <c r="L693" i="2"/>
  <c r="K692" i="2"/>
  <c r="L692" i="2"/>
  <c r="K691" i="2"/>
  <c r="L691" i="2"/>
  <c r="K690" i="2"/>
  <c r="L690" i="2"/>
  <c r="K689" i="2"/>
  <c r="L689" i="2"/>
  <c r="K688" i="2"/>
  <c r="L688" i="2"/>
  <c r="K687" i="2"/>
  <c r="L687" i="2"/>
  <c r="K686" i="2"/>
  <c r="L686" i="2"/>
  <c r="K685" i="2"/>
  <c r="L685" i="2"/>
  <c r="K684" i="2"/>
  <c r="L684" i="2"/>
  <c r="K718" i="2"/>
  <c r="L718" i="2"/>
  <c r="K717" i="2"/>
  <c r="L717" i="2"/>
  <c r="K716" i="2"/>
  <c r="L716" i="2"/>
  <c r="K715" i="2"/>
  <c r="L715" i="2"/>
  <c r="K714" i="2"/>
  <c r="L714" i="2"/>
  <c r="K713" i="2"/>
  <c r="L713" i="2"/>
  <c r="K737" i="2"/>
  <c r="L737" i="2"/>
  <c r="K736" i="2"/>
  <c r="L736" i="2"/>
  <c r="K735" i="2"/>
  <c r="L735" i="2"/>
  <c r="K734" i="2"/>
  <c r="L734" i="2"/>
  <c r="K733" i="2"/>
  <c r="L733" i="2"/>
  <c r="K729" i="2"/>
  <c r="L729" i="2"/>
  <c r="K728" i="2"/>
  <c r="L728" i="2"/>
  <c r="K727" i="2"/>
  <c r="L727" i="2"/>
  <c r="K726" i="2"/>
  <c r="L726" i="2"/>
  <c r="K725" i="2"/>
  <c r="L725" i="2"/>
  <c r="K724" i="2"/>
  <c r="L724" i="2"/>
  <c r="K723" i="2"/>
  <c r="L723" i="2"/>
  <c r="K722" i="2"/>
  <c r="L722" i="2"/>
  <c r="K71" i="2"/>
  <c r="L71" i="2"/>
  <c r="K66" i="2"/>
  <c r="L66" i="2"/>
  <c r="K65" i="2"/>
  <c r="L65" i="2"/>
  <c r="K64" i="2"/>
  <c r="L64" i="2"/>
  <c r="K63" i="2"/>
  <c r="L63" i="2"/>
  <c r="K62" i="2"/>
  <c r="L62" i="2"/>
  <c r="K61" i="2"/>
  <c r="L61" i="2"/>
  <c r="K60" i="2"/>
  <c r="L60" i="2"/>
  <c r="K59" i="2"/>
  <c r="L59" i="2"/>
  <c r="K58" i="2"/>
  <c r="L58" i="2"/>
  <c r="K57" i="2"/>
  <c r="L57" i="2"/>
  <c r="K56" i="2"/>
  <c r="L56" i="2"/>
  <c r="K55" i="2"/>
  <c r="L55" i="2"/>
  <c r="K54" i="2"/>
  <c r="L54" i="2"/>
  <c r="K53" i="2"/>
  <c r="L53" i="2"/>
  <c r="K52" i="2"/>
  <c r="L52" i="2"/>
  <c r="K51" i="2"/>
  <c r="L51" i="2"/>
  <c r="K50" i="2"/>
  <c r="L50" i="2"/>
  <c r="K49" i="2"/>
  <c r="L49" i="2"/>
  <c r="K48" i="2"/>
  <c r="L48" i="2"/>
  <c r="K47" i="2"/>
  <c r="L47" i="2"/>
  <c r="K46" i="2"/>
  <c r="L46" i="2"/>
  <c r="K42" i="2"/>
  <c r="L42" i="2"/>
  <c r="K36" i="2"/>
  <c r="L36" i="2"/>
  <c r="K35" i="2"/>
  <c r="L35" i="2"/>
  <c r="K34" i="2"/>
  <c r="L34" i="2"/>
  <c r="K33" i="2"/>
  <c r="L33" i="2"/>
  <c r="K32" i="2"/>
  <c r="L32" i="2"/>
  <c r="K31" i="2"/>
  <c r="L31" i="2"/>
  <c r="K30" i="2"/>
  <c r="L30" i="2"/>
  <c r="K29" i="2"/>
  <c r="L29" i="2"/>
  <c r="K28" i="2"/>
  <c r="L28" i="2"/>
  <c r="K27" i="2"/>
  <c r="L27" i="2"/>
  <c r="K26" i="2"/>
  <c r="L26" i="2"/>
  <c r="K25" i="2"/>
  <c r="L25" i="2"/>
  <c r="K24" i="2"/>
  <c r="L24" i="2"/>
  <c r="K23" i="2"/>
  <c r="L23" i="2"/>
  <c r="K22" i="2"/>
  <c r="L22" i="2"/>
  <c r="K21" i="2"/>
  <c r="L21" i="2"/>
  <c r="K20" i="2"/>
  <c r="L20" i="2"/>
  <c r="K19" i="2"/>
  <c r="L19" i="2"/>
  <c r="K18" i="2"/>
  <c r="L18" i="2"/>
  <c r="K17" i="2"/>
  <c r="L17" i="2"/>
  <c r="K16" i="2"/>
  <c r="L16" i="2"/>
  <c r="K15" i="2"/>
  <c r="L15" i="2"/>
  <c r="K14" i="2"/>
  <c r="L14" i="2"/>
  <c r="K13" i="2"/>
  <c r="L13" i="2"/>
  <c r="K133" i="2"/>
  <c r="L133" i="2"/>
  <c r="K132" i="2"/>
  <c r="L132" i="2"/>
  <c r="K131" i="2"/>
  <c r="L131" i="2"/>
  <c r="K130" i="2"/>
  <c r="L130" i="2"/>
  <c r="K129" i="2"/>
  <c r="L129" i="2"/>
  <c r="K128" i="2"/>
  <c r="L128" i="2"/>
  <c r="K127" i="2"/>
  <c r="L127" i="2"/>
  <c r="K126" i="2"/>
  <c r="L126" i="2"/>
  <c r="K125" i="2"/>
  <c r="L125" i="2"/>
  <c r="K124" i="2"/>
  <c r="L124" i="2"/>
  <c r="K116" i="2"/>
  <c r="L116" i="2"/>
  <c r="K115" i="2"/>
  <c r="L115" i="2"/>
  <c r="K114" i="2"/>
  <c r="L114" i="2"/>
  <c r="K113" i="2"/>
  <c r="L113" i="2"/>
  <c r="K112" i="2"/>
  <c r="L112" i="2"/>
  <c r="K111" i="2"/>
  <c r="L111" i="2"/>
  <c r="K110" i="2"/>
  <c r="L110" i="2"/>
  <c r="K109" i="2"/>
  <c r="L109" i="2"/>
  <c r="K108" i="2"/>
  <c r="L108" i="2"/>
  <c r="K107" i="2"/>
  <c r="L107" i="2"/>
  <c r="K106" i="2"/>
  <c r="L106" i="2"/>
  <c r="K105" i="2"/>
  <c r="L105" i="2"/>
  <c r="K93" i="2"/>
  <c r="L93" i="2"/>
  <c r="K92" i="2"/>
  <c r="L92" i="2"/>
  <c r="K91" i="2"/>
  <c r="L91" i="2"/>
  <c r="K90" i="2"/>
  <c r="L90" i="2"/>
  <c r="K86" i="2"/>
  <c r="L86" i="2"/>
  <c r="K82" i="2"/>
  <c r="L82" i="2"/>
  <c r="K81" i="2"/>
  <c r="L81" i="2"/>
  <c r="K80" i="2"/>
  <c r="L80" i="2"/>
  <c r="K79" i="2"/>
  <c r="L79" i="2"/>
  <c r="K78" i="2"/>
  <c r="L78" i="2"/>
  <c r="K77" i="2"/>
  <c r="L77" i="2"/>
  <c r="K76" i="2"/>
  <c r="L76" i="2"/>
  <c r="K75" i="2"/>
  <c r="L75" i="2"/>
  <c r="K201" i="2"/>
  <c r="L201" i="2"/>
  <c r="K200" i="2"/>
  <c r="L200" i="2"/>
  <c r="K196" i="2"/>
  <c r="L196" i="2"/>
  <c r="K191" i="2"/>
  <c r="L191" i="2"/>
  <c r="K190" i="2"/>
  <c r="L190" i="2"/>
  <c r="K189" i="2"/>
  <c r="L189" i="2"/>
  <c r="K188" i="2"/>
  <c r="L188" i="2"/>
  <c r="K187" i="2"/>
  <c r="L187" i="2"/>
  <c r="K186" i="2"/>
  <c r="L186" i="2"/>
  <c r="K185" i="2"/>
  <c r="L185" i="2"/>
  <c r="K184" i="2"/>
  <c r="L184" i="2"/>
  <c r="K183" i="2"/>
  <c r="L183" i="2"/>
  <c r="K182" i="2"/>
  <c r="L182" i="2"/>
  <c r="K181" i="2"/>
  <c r="L181" i="2"/>
  <c r="K180" i="2"/>
  <c r="L180" i="2"/>
  <c r="K179" i="2"/>
  <c r="L179" i="2"/>
  <c r="K178" i="2"/>
  <c r="L178" i="2"/>
  <c r="K177" i="2"/>
  <c r="L177" i="2"/>
  <c r="K176" i="2"/>
  <c r="L176" i="2"/>
  <c r="K175" i="2"/>
  <c r="L175" i="2"/>
  <c r="K161" i="2"/>
  <c r="L161" i="2"/>
  <c r="K160" i="2"/>
  <c r="L160" i="2"/>
  <c r="K159" i="2"/>
  <c r="L159" i="2"/>
  <c r="K158" i="2"/>
  <c r="L158" i="2"/>
  <c r="K157" i="2"/>
  <c r="L157" i="2"/>
  <c r="K156" i="2"/>
  <c r="L156" i="2"/>
  <c r="K155" i="2"/>
  <c r="L155" i="2"/>
  <c r="K154" i="2"/>
  <c r="L154" i="2"/>
  <c r="K153" i="2"/>
  <c r="L153" i="2"/>
  <c r="K152" i="2"/>
  <c r="L152" i="2"/>
  <c r="K151" i="2"/>
  <c r="L151" i="2"/>
  <c r="K150" i="2"/>
  <c r="L150" i="2"/>
  <c r="K149" i="2"/>
  <c r="L149" i="2"/>
  <c r="K148" i="2"/>
  <c r="L148" i="2"/>
  <c r="K147" i="2"/>
  <c r="L147" i="2"/>
  <c r="K146" i="2"/>
  <c r="L146" i="2"/>
  <c r="K145" i="2"/>
  <c r="L145" i="2"/>
  <c r="K144" i="2"/>
  <c r="L144" i="2"/>
  <c r="K143" i="2"/>
  <c r="L143" i="2"/>
  <c r="K142" i="2"/>
  <c r="L142" i="2"/>
  <c r="K141" i="2"/>
  <c r="L141" i="2"/>
  <c r="K137" i="2"/>
  <c r="L137" i="2"/>
  <c r="K260" i="2"/>
  <c r="L260" i="2"/>
  <c r="K256" i="2"/>
  <c r="L256" i="2"/>
  <c r="K255" i="2"/>
  <c r="L255" i="2"/>
  <c r="K254" i="2"/>
  <c r="L254" i="2"/>
  <c r="K253" i="2"/>
  <c r="L253" i="2"/>
  <c r="K252" i="2"/>
  <c r="L252" i="2"/>
  <c r="K251" i="2"/>
  <c r="L251" i="2"/>
  <c r="K250" i="2"/>
  <c r="L250" i="2"/>
  <c r="K249" i="2"/>
  <c r="L249" i="2"/>
  <c r="K248" i="2"/>
  <c r="L248" i="2"/>
  <c r="K244" i="2"/>
  <c r="L244" i="2"/>
  <c r="K240" i="2"/>
  <c r="L240" i="2"/>
  <c r="K239" i="2"/>
  <c r="L239" i="2"/>
  <c r="K238" i="2"/>
  <c r="L238" i="2"/>
  <c r="K237" i="2"/>
  <c r="L237" i="2"/>
  <c r="K236" i="2"/>
  <c r="L236" i="2"/>
  <c r="K235" i="2"/>
  <c r="L235" i="2"/>
  <c r="K234" i="2"/>
  <c r="L234" i="2"/>
  <c r="K233" i="2"/>
  <c r="L233" i="2"/>
  <c r="K232" i="2"/>
  <c r="L232" i="2"/>
  <c r="K228" i="2"/>
  <c r="L228" i="2"/>
  <c r="K224" i="2"/>
  <c r="L224" i="2"/>
  <c r="K223" i="2"/>
  <c r="L223" i="2"/>
  <c r="K222" i="2"/>
  <c r="L222" i="2"/>
  <c r="K221" i="2"/>
  <c r="L221" i="2"/>
  <c r="K220" i="2"/>
  <c r="L220" i="2"/>
  <c r="K219" i="2"/>
  <c r="L219" i="2"/>
  <c r="K218" i="2"/>
  <c r="L218" i="2"/>
  <c r="K217" i="2"/>
  <c r="L217" i="2"/>
  <c r="K216" i="2"/>
  <c r="L216" i="2"/>
  <c r="K212" i="2"/>
  <c r="L212" i="2"/>
  <c r="K208" i="2"/>
  <c r="L208" i="2"/>
  <c r="K207" i="2"/>
  <c r="L207" i="2"/>
  <c r="K206" i="2"/>
  <c r="L206" i="2"/>
  <c r="K205" i="2"/>
  <c r="L205" i="2"/>
  <c r="K204" i="2"/>
  <c r="L204" i="2"/>
  <c r="K203" i="2"/>
  <c r="L203" i="2"/>
  <c r="K202" i="2"/>
  <c r="L202" i="2"/>
  <c r="K323" i="2"/>
  <c r="L323" i="2"/>
  <c r="K322" i="2"/>
  <c r="L322" i="2"/>
  <c r="K321" i="2"/>
  <c r="L321" i="2"/>
  <c r="K320" i="2"/>
  <c r="L320" i="2"/>
  <c r="K319" i="2"/>
  <c r="L319" i="2"/>
  <c r="K318" i="2"/>
  <c r="L318" i="2"/>
  <c r="K317" i="2"/>
  <c r="L317" i="2"/>
  <c r="K316" i="2"/>
  <c r="L316" i="2"/>
  <c r="K315" i="2"/>
  <c r="L315" i="2"/>
  <c r="K314" i="2"/>
  <c r="L314" i="2"/>
  <c r="K313" i="2"/>
  <c r="L313" i="2"/>
  <c r="K312" i="2"/>
  <c r="L312" i="2"/>
  <c r="K311" i="2"/>
  <c r="L311" i="2"/>
  <c r="K310" i="2"/>
  <c r="L310" i="2"/>
  <c r="K309" i="2"/>
  <c r="L309" i="2"/>
  <c r="K308" i="2"/>
  <c r="L308" i="2"/>
  <c r="K304" i="2"/>
  <c r="L304" i="2"/>
  <c r="K300" i="2"/>
  <c r="L300" i="2"/>
  <c r="K299" i="2"/>
  <c r="L299" i="2"/>
  <c r="K298" i="2"/>
  <c r="L298" i="2"/>
  <c r="K297" i="2"/>
  <c r="L297" i="2"/>
  <c r="K296" i="2"/>
  <c r="L296" i="2"/>
  <c r="K295" i="2"/>
  <c r="L295" i="2"/>
  <c r="K294" i="2"/>
  <c r="L294" i="2"/>
  <c r="K293" i="2"/>
  <c r="L293" i="2"/>
  <c r="K292" i="2"/>
  <c r="L292" i="2"/>
  <c r="K291" i="2"/>
  <c r="L291" i="2"/>
  <c r="K290" i="2"/>
  <c r="L290" i="2"/>
  <c r="K289" i="2"/>
  <c r="L289" i="2"/>
  <c r="K288" i="2"/>
  <c r="L288" i="2"/>
  <c r="K287" i="2"/>
  <c r="L287" i="2"/>
  <c r="K278" i="2"/>
  <c r="L278" i="2"/>
  <c r="K277" i="2"/>
  <c r="L277" i="2"/>
  <c r="K276" i="2"/>
  <c r="L276" i="2"/>
  <c r="K275" i="2"/>
  <c r="L275" i="2"/>
  <c r="K274" i="2"/>
  <c r="L274" i="2"/>
  <c r="K273" i="2"/>
  <c r="L273" i="2"/>
  <c r="K272" i="2"/>
  <c r="L272" i="2"/>
  <c r="K271" i="2"/>
  <c r="L271" i="2"/>
  <c r="K270" i="2"/>
  <c r="L270" i="2"/>
  <c r="K269" i="2"/>
  <c r="L269" i="2"/>
  <c r="K268" i="2"/>
  <c r="L268" i="2"/>
  <c r="K267" i="2"/>
  <c r="L267" i="2"/>
  <c r="K266" i="2"/>
  <c r="L266" i="2"/>
  <c r="K265" i="2"/>
  <c r="L265" i="2"/>
  <c r="K264" i="2"/>
  <c r="L264" i="2"/>
  <c r="K387" i="2"/>
  <c r="L387" i="2"/>
  <c r="K386" i="2"/>
  <c r="L386" i="2"/>
  <c r="K385" i="2"/>
  <c r="L385" i="2"/>
  <c r="K384" i="2"/>
  <c r="L384" i="2"/>
  <c r="K383" i="2"/>
  <c r="L383" i="2"/>
  <c r="K382" i="2"/>
  <c r="L382" i="2"/>
  <c r="K378" i="2"/>
  <c r="L378" i="2"/>
  <c r="K373" i="2"/>
  <c r="L373" i="2"/>
  <c r="K372" i="2"/>
  <c r="L372" i="2"/>
  <c r="K371" i="2"/>
  <c r="L371" i="2"/>
  <c r="K370" i="2"/>
  <c r="L370" i="2"/>
  <c r="K369" i="2"/>
  <c r="L369" i="2"/>
  <c r="K368" i="2"/>
  <c r="L368" i="2"/>
  <c r="K367" i="2"/>
  <c r="L367" i="2"/>
  <c r="K366" i="2"/>
  <c r="L366" i="2"/>
  <c r="K365" i="2"/>
  <c r="L365" i="2"/>
  <c r="K364" i="2"/>
  <c r="L364" i="2"/>
  <c r="K363" i="2"/>
  <c r="L363" i="2"/>
  <c r="K362" i="2"/>
  <c r="L362" i="2"/>
  <c r="K361" i="2"/>
  <c r="L361" i="2"/>
  <c r="K360" i="2"/>
  <c r="L360" i="2"/>
  <c r="K359" i="2"/>
  <c r="L359" i="2"/>
  <c r="K358" i="2"/>
  <c r="L358" i="2"/>
  <c r="K357" i="2"/>
  <c r="L357" i="2"/>
  <c r="K353" i="2"/>
  <c r="L353" i="2"/>
  <c r="K348" i="2"/>
  <c r="L348" i="2"/>
  <c r="K347" i="2"/>
  <c r="L347" i="2"/>
  <c r="K346" i="2"/>
  <c r="L346" i="2"/>
  <c r="K345" i="2"/>
  <c r="L345" i="2"/>
  <c r="K344" i="2"/>
  <c r="L344" i="2"/>
  <c r="K343" i="2"/>
  <c r="L343" i="2"/>
  <c r="K342" i="2"/>
  <c r="L342" i="2"/>
  <c r="K341" i="2"/>
  <c r="L341" i="2"/>
  <c r="K340" i="2"/>
  <c r="L340" i="2"/>
  <c r="K339" i="2"/>
  <c r="L339" i="2"/>
  <c r="K338" i="2"/>
  <c r="L338" i="2"/>
  <c r="K337" i="2"/>
  <c r="L337" i="2"/>
  <c r="K336" i="2"/>
  <c r="L336" i="2"/>
  <c r="K335" i="2"/>
  <c r="L335" i="2"/>
  <c r="K334" i="2"/>
  <c r="L334" i="2"/>
  <c r="K333" i="2"/>
  <c r="L333" i="2"/>
  <c r="K332" i="2"/>
  <c r="L332" i="2"/>
  <c r="K328" i="2"/>
  <c r="L328" i="2"/>
  <c r="K449" i="2"/>
  <c r="L449" i="2"/>
  <c r="K448" i="2"/>
  <c r="L448" i="2"/>
  <c r="K447" i="2"/>
  <c r="L447" i="2"/>
  <c r="K446" i="2"/>
  <c r="L446" i="2"/>
  <c r="K445" i="2"/>
  <c r="L445" i="2"/>
  <c r="K444" i="2"/>
  <c r="L444" i="2"/>
  <c r="K443" i="2"/>
  <c r="L443" i="2"/>
  <c r="K442" i="2"/>
  <c r="L442" i="2"/>
  <c r="K441" i="2"/>
  <c r="L441" i="2"/>
  <c r="K440" i="2"/>
  <c r="L440" i="2"/>
  <c r="K439" i="2"/>
  <c r="L439" i="2"/>
  <c r="K438" i="2"/>
  <c r="L438" i="2"/>
  <c r="K434" i="2"/>
  <c r="L434" i="2"/>
  <c r="K430" i="2"/>
  <c r="L430" i="2"/>
  <c r="K429" i="2"/>
  <c r="L429" i="2"/>
  <c r="K428" i="2"/>
  <c r="L428" i="2"/>
  <c r="K427" i="2"/>
  <c r="L427" i="2"/>
  <c r="K426" i="2"/>
  <c r="L426" i="2"/>
  <c r="K425" i="2"/>
  <c r="L425" i="2"/>
  <c r="K424" i="2"/>
  <c r="L424" i="2"/>
  <c r="K423" i="2"/>
  <c r="L423" i="2"/>
  <c r="K422" i="2"/>
  <c r="L422" i="2"/>
  <c r="K421" i="2"/>
  <c r="L421" i="2"/>
  <c r="K420" i="2"/>
  <c r="L420" i="2"/>
  <c r="K419" i="2"/>
  <c r="L419" i="2"/>
  <c r="K418" i="2"/>
  <c r="L418" i="2"/>
  <c r="K417" i="2"/>
  <c r="L417" i="2"/>
  <c r="K416" i="2"/>
  <c r="L416" i="2"/>
  <c r="K415" i="2"/>
  <c r="L415" i="2"/>
  <c r="K414" i="2"/>
  <c r="L414" i="2"/>
  <c r="K413" i="2"/>
  <c r="L413" i="2"/>
  <c r="K412" i="2"/>
  <c r="L412" i="2"/>
  <c r="K411" i="2"/>
  <c r="L411" i="2"/>
  <c r="K410" i="2"/>
  <c r="L410" i="2"/>
  <c r="K408" i="2"/>
  <c r="L408" i="2"/>
  <c r="K407" i="2"/>
  <c r="L407" i="2"/>
  <c r="K406" i="2"/>
  <c r="L406" i="2"/>
  <c r="K402" i="2"/>
  <c r="L402" i="2"/>
  <c r="K397" i="2"/>
  <c r="L397" i="2"/>
  <c r="K396" i="2"/>
  <c r="L396" i="2"/>
  <c r="K395" i="2"/>
  <c r="L395" i="2"/>
  <c r="K394" i="2"/>
  <c r="L394" i="2"/>
  <c r="K393" i="2"/>
  <c r="L393" i="2"/>
  <c r="K392" i="2"/>
  <c r="L392" i="2"/>
  <c r="K391" i="2"/>
  <c r="L391" i="2"/>
  <c r="K390" i="2"/>
  <c r="L390" i="2"/>
  <c r="K389" i="2"/>
  <c r="L389" i="2"/>
  <c r="K388" i="2"/>
  <c r="L388" i="2"/>
  <c r="K511" i="2"/>
  <c r="L511" i="2"/>
  <c r="K510" i="2"/>
  <c r="L510" i="2"/>
  <c r="K509" i="2"/>
  <c r="L509" i="2"/>
  <c r="K508" i="2"/>
  <c r="L508" i="2"/>
  <c r="K507" i="2"/>
  <c r="L507" i="2"/>
  <c r="K506" i="2"/>
  <c r="L506" i="2"/>
  <c r="K505" i="2"/>
  <c r="L505" i="2"/>
  <c r="K504" i="2"/>
  <c r="L504" i="2"/>
  <c r="K503" i="2"/>
  <c r="L503" i="2"/>
  <c r="K502" i="2"/>
  <c r="L502" i="2"/>
  <c r="K501" i="2"/>
  <c r="L501" i="2"/>
  <c r="K500" i="2"/>
  <c r="L500" i="2"/>
  <c r="K496" i="2"/>
  <c r="L496" i="2"/>
  <c r="K494" i="2"/>
  <c r="L494" i="2"/>
  <c r="K493" i="2"/>
  <c r="L493" i="2"/>
  <c r="K492" i="2"/>
  <c r="L492" i="2"/>
  <c r="K491" i="2"/>
  <c r="L491" i="2"/>
  <c r="K490" i="2"/>
  <c r="L490" i="2"/>
  <c r="K489" i="2"/>
  <c r="L489" i="2"/>
  <c r="K488" i="2"/>
  <c r="L488" i="2"/>
  <c r="K487" i="2"/>
  <c r="L487" i="2"/>
  <c r="K486" i="2"/>
  <c r="L486" i="2"/>
  <c r="K485" i="2"/>
  <c r="L485" i="2"/>
  <c r="K484" i="2"/>
  <c r="L484" i="2"/>
  <c r="K483" i="2"/>
  <c r="L483" i="2"/>
  <c r="K482" i="2"/>
  <c r="L482" i="2"/>
  <c r="K481" i="2"/>
  <c r="L481" i="2"/>
  <c r="K480" i="2"/>
  <c r="L480" i="2"/>
  <c r="K479" i="2"/>
  <c r="L479" i="2"/>
  <c r="K478" i="2"/>
  <c r="L478" i="2"/>
  <c r="K477" i="2"/>
  <c r="L477" i="2"/>
  <c r="K476" i="2"/>
  <c r="L476" i="2"/>
  <c r="K475" i="2"/>
  <c r="L475" i="2"/>
  <c r="K474" i="2"/>
  <c r="L474" i="2"/>
  <c r="K473" i="2"/>
  <c r="L473" i="2"/>
  <c r="K472" i="2"/>
  <c r="L472" i="2"/>
  <c r="K471" i="2"/>
  <c r="L471" i="2"/>
  <c r="K467" i="2"/>
  <c r="L467" i="2"/>
  <c r="K463" i="2"/>
  <c r="L463" i="2"/>
  <c r="K462" i="2"/>
  <c r="L462" i="2"/>
  <c r="K461" i="2"/>
  <c r="L461" i="2"/>
  <c r="K460" i="2"/>
  <c r="L460" i="2"/>
  <c r="K459" i="2"/>
  <c r="L459" i="2"/>
  <c r="K455" i="2"/>
  <c r="L455" i="2"/>
  <c r="K450" i="2"/>
  <c r="L450" i="2"/>
  <c r="K525" i="2"/>
  <c r="L525" i="2"/>
  <c r="K524" i="2"/>
  <c r="L524" i="2"/>
  <c r="K523" i="2"/>
  <c r="L523" i="2"/>
  <c r="K522" i="2"/>
  <c r="L522" i="2"/>
  <c r="K521" i="2"/>
  <c r="L521" i="2"/>
  <c r="K520" i="2"/>
  <c r="L520" i="2"/>
  <c r="K519" i="2"/>
  <c r="L519" i="2"/>
  <c r="K518" i="2"/>
  <c r="L518" i="2"/>
  <c r="K517" i="2"/>
  <c r="L517" i="2"/>
  <c r="K516" i="2"/>
  <c r="L516" i="2"/>
  <c r="K515" i="2"/>
  <c r="L515" i="2"/>
  <c r="K514" i="2"/>
  <c r="L514" i="2"/>
  <c r="K513" i="2"/>
  <c r="L513" i="2"/>
  <c r="K512" i="2"/>
  <c r="L512" i="2"/>
  <c r="K539" i="2"/>
  <c r="L539" i="2"/>
  <c r="K538" i="2"/>
  <c r="L538" i="2"/>
  <c r="K537" i="2"/>
  <c r="L537" i="2"/>
  <c r="K536" i="2"/>
  <c r="L536" i="2"/>
  <c r="K535" i="2"/>
  <c r="L535" i="2"/>
  <c r="K534" i="2"/>
  <c r="L534" i="2"/>
  <c r="K530" i="2"/>
  <c r="L530" i="2"/>
  <c r="K526" i="2"/>
  <c r="L526" i="2"/>
  <c r="K553" i="2"/>
  <c r="L553" i="2"/>
  <c r="K552" i="2"/>
  <c r="L552" i="2"/>
  <c r="K551" i="2"/>
  <c r="L551" i="2"/>
  <c r="K550" i="2"/>
  <c r="L550" i="2"/>
  <c r="K549" i="2"/>
  <c r="L549" i="2"/>
  <c r="K548" i="2"/>
  <c r="L548" i="2"/>
  <c r="K547" i="2"/>
  <c r="L547" i="2"/>
  <c r="K546" i="2"/>
  <c r="L546" i="2"/>
  <c r="K545" i="2"/>
  <c r="L545" i="2"/>
  <c r="K544" i="2"/>
  <c r="L544" i="2"/>
  <c r="K543" i="2"/>
  <c r="L543" i="2"/>
  <c r="K542" i="2"/>
  <c r="L542" i="2"/>
  <c r="K541" i="2"/>
  <c r="L541" i="2"/>
  <c r="K540" i="2"/>
  <c r="L540" i="2"/>
  <c r="K567" i="2"/>
  <c r="L567" i="2"/>
  <c r="K566" i="2"/>
  <c r="L566" i="2"/>
  <c r="K565" i="2"/>
  <c r="L565" i="2"/>
  <c r="K564" i="2"/>
  <c r="L564" i="2"/>
  <c r="K563" i="2"/>
  <c r="L563" i="2"/>
  <c r="K559" i="2"/>
  <c r="L559" i="2"/>
  <c r="K557" i="2"/>
  <c r="L557" i="2"/>
  <c r="K556" i="2"/>
  <c r="L556" i="2"/>
  <c r="K555" i="2"/>
  <c r="L555" i="2"/>
  <c r="K554" i="2"/>
  <c r="L554" i="2"/>
  <c r="K581" i="2"/>
  <c r="L581" i="2"/>
  <c r="K580" i="2"/>
  <c r="L580" i="2"/>
  <c r="K579" i="2"/>
  <c r="L579" i="2"/>
  <c r="K578" i="2"/>
  <c r="L578" i="2"/>
  <c r="K577" i="2"/>
  <c r="L577" i="2"/>
  <c r="K576" i="2"/>
  <c r="L576" i="2"/>
  <c r="K575" i="2"/>
  <c r="L575" i="2"/>
  <c r="K574" i="2"/>
  <c r="L574" i="2"/>
  <c r="K573" i="2"/>
  <c r="L573" i="2"/>
  <c r="K572" i="2"/>
  <c r="L572" i="2"/>
  <c r="K571" i="2"/>
  <c r="L571" i="2"/>
  <c r="K570" i="2"/>
  <c r="L570" i="2"/>
  <c r="K569" i="2"/>
  <c r="L569" i="2"/>
  <c r="K568" i="2"/>
  <c r="L568" i="2"/>
  <c r="K594" i="2"/>
  <c r="L594" i="2"/>
  <c r="K593" i="2"/>
  <c r="L593" i="2"/>
  <c r="K592" i="2"/>
  <c r="L592" i="2"/>
  <c r="K591" i="2"/>
  <c r="L591" i="2"/>
  <c r="K590" i="2"/>
  <c r="L590" i="2"/>
  <c r="K589" i="2"/>
  <c r="L589" i="2"/>
  <c r="K588" i="2"/>
  <c r="L588" i="2"/>
  <c r="K587" i="2"/>
  <c r="L587" i="2"/>
  <c r="K586" i="2"/>
  <c r="L586" i="2"/>
  <c r="K585" i="2"/>
  <c r="L585" i="2"/>
  <c r="K584" i="2"/>
  <c r="L584" i="2"/>
  <c r="K583" i="2"/>
  <c r="L583" i="2"/>
  <c r="K582" i="2"/>
  <c r="L582" i="2"/>
  <c r="K609" i="2"/>
  <c r="L609" i="2"/>
  <c r="K608" i="2"/>
  <c r="L608" i="2"/>
  <c r="K607" i="2"/>
  <c r="L607" i="2"/>
  <c r="K606" i="2"/>
  <c r="L606" i="2"/>
  <c r="K605" i="2"/>
  <c r="L605" i="2"/>
  <c r="K604" i="2"/>
  <c r="L604" i="2"/>
  <c r="K603" i="2"/>
  <c r="L603" i="2"/>
  <c r="K602" i="2"/>
  <c r="L602" i="2"/>
  <c r="K601" i="2"/>
  <c r="L601" i="2"/>
  <c r="K600" i="2"/>
  <c r="L600" i="2"/>
  <c r="K596" i="2"/>
  <c r="L596" i="2"/>
  <c r="K623" i="2"/>
  <c r="L623" i="2"/>
  <c r="K622" i="2"/>
  <c r="L622" i="2"/>
  <c r="K621" i="2"/>
  <c r="L621" i="2"/>
  <c r="K620" i="2"/>
  <c r="L620" i="2"/>
  <c r="K619" i="2"/>
  <c r="L619" i="2"/>
  <c r="K618" i="2"/>
  <c r="L618" i="2"/>
  <c r="K617" i="2"/>
  <c r="L617" i="2"/>
  <c r="K616" i="2"/>
  <c r="L616" i="2"/>
  <c r="K615" i="2"/>
  <c r="L615" i="2"/>
  <c r="K614" i="2"/>
  <c r="L614" i="2"/>
  <c r="K613" i="2"/>
  <c r="L613" i="2"/>
  <c r="K612" i="2"/>
  <c r="L612" i="2"/>
  <c r="K611" i="2"/>
  <c r="L611" i="2"/>
  <c r="K610" i="2"/>
  <c r="L610" i="2"/>
  <c r="K739" i="2"/>
  <c r="L739" i="2"/>
  <c r="K738" i="2"/>
  <c r="L738" i="2"/>
  <c r="K631" i="2"/>
  <c r="L631" i="2"/>
  <c r="K629" i="2"/>
  <c r="L629" i="2"/>
  <c r="K628" i="2"/>
  <c r="L628" i="2"/>
  <c r="K627" i="2"/>
  <c r="L627" i="2"/>
  <c r="K626" i="2"/>
  <c r="L626" i="2"/>
  <c r="K625" i="2"/>
  <c r="L625" i="2"/>
  <c r="K624" i="2"/>
  <c r="L624" i="2"/>
  <c r="K755" i="2"/>
  <c r="L755" i="2"/>
  <c r="K751" i="2"/>
  <c r="L751" i="2"/>
  <c r="K750" i="2"/>
  <c r="L750" i="2"/>
  <c r="K749" i="2"/>
  <c r="L749" i="2"/>
  <c r="K748" i="2"/>
  <c r="L748" i="2"/>
  <c r="K747" i="2"/>
  <c r="L747" i="2"/>
  <c r="K746" i="2"/>
  <c r="L746" i="2"/>
  <c r="K745" i="2"/>
  <c r="L745" i="2"/>
  <c r="K744" i="2"/>
  <c r="L744" i="2"/>
  <c r="K740" i="2"/>
  <c r="L740" i="2"/>
  <c r="K769" i="2"/>
  <c r="L769" i="2"/>
  <c r="K768" i="2"/>
  <c r="L768" i="2"/>
  <c r="K767" i="2"/>
  <c r="L767" i="2"/>
  <c r="K766" i="2"/>
  <c r="L766" i="2"/>
  <c r="K762" i="2"/>
  <c r="L762" i="2"/>
  <c r="K761" i="2"/>
  <c r="L761" i="2"/>
  <c r="K760" i="2"/>
  <c r="L760" i="2"/>
  <c r="K759" i="2"/>
  <c r="L759" i="2"/>
  <c r="K758" i="2"/>
  <c r="L758" i="2"/>
  <c r="K757" i="2"/>
  <c r="L757" i="2"/>
  <c r="K756" i="2"/>
  <c r="L756" i="2"/>
  <c r="K782" i="2"/>
  <c r="L782" i="2"/>
  <c r="K781" i="2"/>
  <c r="L781" i="2"/>
  <c r="K780" i="2"/>
  <c r="L780" i="2"/>
  <c r="K779" i="2"/>
  <c r="L779" i="2"/>
  <c r="K778" i="2"/>
  <c r="L778" i="2"/>
  <c r="K777" i="2"/>
  <c r="L777" i="2"/>
  <c r="K776" i="2"/>
  <c r="L776" i="2"/>
  <c r="K772" i="2"/>
  <c r="L772" i="2"/>
  <c r="K771" i="2"/>
  <c r="L771" i="2"/>
  <c r="K770" i="2"/>
  <c r="L770" i="2"/>
  <c r="K788" i="2"/>
  <c r="L788" i="2"/>
  <c r="K787" i="2"/>
  <c r="L787" i="2"/>
  <c r="K786" i="2"/>
  <c r="L786" i="2"/>
  <c r="K791" i="2"/>
  <c r="L791" i="2"/>
  <c r="K790" i="2"/>
  <c r="L790" i="2"/>
  <c r="K789" i="2"/>
  <c r="L789" i="2"/>
  <c r="K792" i="2"/>
  <c r="L792" i="2"/>
  <c r="G874" i="2"/>
  <c r="K876" i="2"/>
  <c r="L876" i="2"/>
  <c r="K1162" i="2"/>
  <c r="L1162" i="2"/>
  <c r="K1161" i="2"/>
  <c r="L1161" i="2"/>
  <c r="K1160" i="2"/>
  <c r="L1160" i="2"/>
  <c r="K1199" i="2"/>
  <c r="L1199" i="2"/>
  <c r="G927" i="2"/>
  <c r="G925" i="2"/>
  <c r="J987" i="2"/>
  <c r="J1623" i="2"/>
  <c r="K984" i="2"/>
  <c r="L984" i="2"/>
  <c r="K899" i="2"/>
  <c r="L899" i="2"/>
  <c r="K1008" i="2"/>
  <c r="L1008" i="2"/>
  <c r="K998" i="2"/>
  <c r="L998" i="2"/>
  <c r="K996" i="2"/>
  <c r="L996" i="2"/>
  <c r="K1003" i="2"/>
  <c r="L1003" i="2"/>
  <c r="K1002" i="2"/>
  <c r="L1002" i="2"/>
  <c r="K999" i="2"/>
  <c r="L999" i="2"/>
  <c r="K1000" i="2"/>
  <c r="L1000" i="2"/>
  <c r="K983" i="2"/>
  <c r="L983" i="2"/>
  <c r="K1020" i="2"/>
  <c r="L1020" i="2"/>
  <c r="K1019" i="2"/>
  <c r="L1019" i="2"/>
  <c r="K1025" i="2"/>
  <c r="L1025" i="2"/>
  <c r="K1023" i="2"/>
  <c r="L1023" i="2"/>
  <c r="K1037" i="2"/>
  <c r="L1037" i="2"/>
  <c r="K1036" i="2"/>
  <c r="L1036" i="2"/>
  <c r="K1038" i="2"/>
  <c r="L1038" i="2"/>
  <c r="K1039" i="2"/>
  <c r="L1039" i="2"/>
  <c r="K1422" i="2"/>
  <c r="L1422" i="2"/>
  <c r="K1208" i="2"/>
  <c r="L1208" i="2"/>
  <c r="K1207" i="2"/>
  <c r="L1207" i="2"/>
  <c r="K1206" i="2"/>
  <c r="L1206" i="2"/>
  <c r="K1205" i="2"/>
  <c r="L1205" i="2"/>
  <c r="K1204" i="2"/>
  <c r="L1204" i="2"/>
  <c r="K1212" i="2"/>
  <c r="L1212" i="2"/>
  <c r="K1211" i="2"/>
  <c r="L1211" i="2"/>
  <c r="K1210" i="2"/>
  <c r="L1210" i="2"/>
  <c r="K1209" i="2"/>
  <c r="L1209" i="2"/>
  <c r="K1203" i="2"/>
  <c r="L1203" i="2"/>
  <c r="K1202" i="2"/>
  <c r="L1202" i="2"/>
  <c r="K1259" i="2"/>
  <c r="L1259" i="2"/>
  <c r="K1148" i="2"/>
  <c r="L1148" i="2"/>
  <c r="K1147" i="2"/>
  <c r="L1147" i="2"/>
  <c r="K1146" i="2"/>
  <c r="L1146" i="2"/>
  <c r="K1153" i="2"/>
  <c r="L1153" i="2"/>
  <c r="K1152" i="2"/>
  <c r="L1152" i="2"/>
  <c r="K1155" i="2"/>
  <c r="L1155" i="2"/>
  <c r="K1154" i="2"/>
  <c r="L1154" i="2"/>
  <c r="K1124" i="2"/>
  <c r="L1124" i="2"/>
  <c r="K1123" i="2"/>
  <c r="L1123" i="2"/>
  <c r="K1122" i="2"/>
  <c r="L1122" i="2"/>
  <c r="K1121" i="2"/>
  <c r="L1121" i="2"/>
  <c r="K1120" i="2"/>
  <c r="L1120" i="2"/>
  <c r="K1119" i="2"/>
  <c r="L1119" i="2"/>
  <c r="K1118" i="2"/>
  <c r="L1118" i="2"/>
  <c r="K1131" i="2"/>
  <c r="L1131" i="2"/>
  <c r="K1127" i="2"/>
  <c r="L1127" i="2"/>
  <c r="K1126" i="2"/>
  <c r="L1126" i="2"/>
  <c r="K1125" i="2"/>
  <c r="L1125" i="2"/>
  <c r="K1133" i="2"/>
  <c r="L1133" i="2"/>
  <c r="K1132" i="2"/>
  <c r="L1132" i="2"/>
  <c r="K1117" i="2"/>
  <c r="L1117" i="2"/>
  <c r="K1136" i="2"/>
  <c r="L1136" i="2"/>
  <c r="K1135" i="2"/>
  <c r="L1135" i="2"/>
  <c r="K1134" i="2"/>
  <c r="L1134" i="2"/>
  <c r="K1139" i="2"/>
  <c r="L1139" i="2"/>
  <c r="K1138" i="2"/>
  <c r="L1138" i="2"/>
  <c r="K1137" i="2"/>
  <c r="L1137" i="2"/>
  <c r="K1054" i="2"/>
  <c r="L1054" i="2"/>
  <c r="K1053" i="2"/>
  <c r="L1053" i="2"/>
  <c r="K1052" i="2"/>
  <c r="L1052" i="2"/>
  <c r="K1051" i="2"/>
  <c r="L1051" i="2"/>
  <c r="K1050" i="2"/>
  <c r="L1050" i="2"/>
  <c r="K1049" i="2"/>
  <c r="L1049" i="2"/>
  <c r="K1063" i="2"/>
  <c r="L1063" i="2"/>
  <c r="K1062" i="2"/>
  <c r="L1062" i="2"/>
  <c r="K1061" i="2"/>
  <c r="L1061" i="2"/>
  <c r="K1060" i="2"/>
  <c r="L1060" i="2"/>
  <c r="K1059" i="2"/>
  <c r="L1059" i="2"/>
  <c r="K1058" i="2"/>
  <c r="L1058" i="2"/>
  <c r="K1071" i="2"/>
  <c r="L1071" i="2"/>
  <c r="K1070" i="2"/>
  <c r="L1070" i="2"/>
  <c r="K1069" i="2"/>
  <c r="L1069" i="2"/>
  <c r="K1065" i="2"/>
  <c r="L1065" i="2"/>
  <c r="K1064" i="2"/>
  <c r="L1064" i="2"/>
  <c r="K1079" i="2"/>
  <c r="L1079" i="2"/>
  <c r="K1078" i="2"/>
  <c r="L1078" i="2"/>
  <c r="K1074" i="2"/>
  <c r="L1074" i="2"/>
  <c r="K1073" i="2"/>
  <c r="L1073" i="2"/>
  <c r="K1072" i="2"/>
  <c r="L1072" i="2"/>
  <c r="K1084" i="2"/>
  <c r="L1084" i="2"/>
  <c r="K1083" i="2"/>
  <c r="L1083" i="2"/>
  <c r="K1082" i="2"/>
  <c r="L1082" i="2"/>
  <c r="K1081" i="2"/>
  <c r="L1081" i="2"/>
  <c r="K1080" i="2"/>
  <c r="L1080" i="2"/>
  <c r="K1095" i="2"/>
  <c r="L1095" i="2"/>
  <c r="K1094" i="2"/>
  <c r="L1094" i="2"/>
  <c r="K1093" i="2"/>
  <c r="L1093" i="2"/>
  <c r="K1092" i="2"/>
  <c r="L1092" i="2"/>
  <c r="K1091" i="2"/>
  <c r="L1091" i="2"/>
  <c r="K1090" i="2"/>
  <c r="L1090" i="2"/>
  <c r="K1089" i="2"/>
  <c r="L1089" i="2"/>
  <c r="K1088" i="2"/>
  <c r="L1088" i="2"/>
  <c r="K1103" i="2"/>
  <c r="L1103" i="2"/>
  <c r="K1102" i="2"/>
  <c r="L1102" i="2"/>
  <c r="K1101" i="2"/>
  <c r="L1101" i="2"/>
  <c r="K1100" i="2"/>
  <c r="L1100" i="2"/>
  <c r="K1099" i="2"/>
  <c r="L1099" i="2"/>
  <c r="K1098" i="2"/>
  <c r="L1098" i="2"/>
  <c r="K1097" i="2"/>
  <c r="L1097" i="2"/>
  <c r="K1096" i="2"/>
  <c r="L1096" i="2"/>
  <c r="K1111" i="2"/>
  <c r="L1111" i="2"/>
  <c r="K1110" i="2"/>
  <c r="L1110" i="2"/>
  <c r="K1109" i="2"/>
  <c r="L1109" i="2"/>
  <c r="K1108" i="2"/>
  <c r="L1108" i="2"/>
  <c r="K1107" i="2"/>
  <c r="L1107" i="2"/>
  <c r="K1106" i="2"/>
  <c r="L1106" i="2"/>
  <c r="K1105" i="2"/>
  <c r="L1105" i="2"/>
  <c r="K1104" i="2"/>
  <c r="L1104" i="2"/>
  <c r="K1183" i="2"/>
  <c r="L1183" i="2"/>
  <c r="L1194" i="2"/>
  <c r="G10" i="1"/>
  <c r="K1187" i="2"/>
  <c r="L1187" i="2"/>
  <c r="K1182" i="2"/>
  <c r="L1182" i="2"/>
  <c r="K1186" i="2"/>
  <c r="L1186" i="2"/>
  <c r="K1191" i="2"/>
  <c r="L1191" i="2"/>
  <c r="H1346" i="2"/>
  <c r="D15" i="1"/>
  <c r="K1234" i="2"/>
  <c r="L1234" i="2"/>
  <c r="K1200" i="2"/>
  <c r="L1200" i="2"/>
  <c r="K1032" i="2"/>
  <c r="L1032" i="2"/>
  <c r="K1031" i="2"/>
  <c r="L1031" i="2"/>
  <c r="K997" i="2"/>
  <c r="K985" i="2"/>
  <c r="L985" i="2"/>
  <c r="K980" i="2"/>
  <c r="L980" i="2"/>
  <c r="L987" i="2"/>
  <c r="G6" i="1"/>
  <c r="K978" i="2"/>
  <c r="L978" i="2"/>
  <c r="K903" i="2"/>
  <c r="L903" i="2"/>
  <c r="K902" i="2"/>
  <c r="L902" i="2"/>
  <c r="K895" i="2"/>
  <c r="L895" i="2"/>
  <c r="K894" i="2"/>
  <c r="L894" i="2"/>
  <c r="K892" i="2"/>
  <c r="L892" i="2"/>
  <c r="K875" i="2"/>
  <c r="L875" i="2"/>
  <c r="K881" i="2"/>
  <c r="L881" i="2"/>
  <c r="K880" i="2"/>
  <c r="L880" i="2"/>
  <c r="K879" i="2"/>
  <c r="L879" i="2"/>
  <c r="K992" i="2"/>
  <c r="K979" i="2"/>
  <c r="L979" i="2"/>
  <c r="K870" i="2"/>
  <c r="K856" i="2"/>
  <c r="L856" i="2"/>
  <c r="I1426" i="2"/>
  <c r="E19" i="1"/>
  <c r="I1418" i="2"/>
  <c r="E18" i="1"/>
  <c r="I1395" i="2"/>
  <c r="E17" i="1"/>
  <c r="I1373" i="2"/>
  <c r="E16" i="1"/>
  <c r="I1302" i="2"/>
  <c r="E14" i="1"/>
  <c r="I1269" i="2"/>
  <c r="E13" i="1"/>
  <c r="I1225" i="2"/>
  <c r="E12" i="1"/>
  <c r="I1217" i="2"/>
  <c r="E11" i="1"/>
  <c r="I1194" i="2"/>
  <c r="E10" i="1"/>
  <c r="I1165" i="2"/>
  <c r="E9" i="1"/>
  <c r="E22" i="1"/>
  <c r="I1043" i="2"/>
  <c r="E8" i="1"/>
  <c r="G997" i="2"/>
  <c r="G994" i="2"/>
  <c r="G992" i="2"/>
  <c r="G991" i="2"/>
  <c r="G1010" i="2"/>
  <c r="K995" i="2"/>
  <c r="L995" i="2"/>
  <c r="K883" i="2"/>
  <c r="L883" i="2"/>
  <c r="K1007" i="2"/>
  <c r="L1007" i="2"/>
  <c r="K991" i="2"/>
  <c r="L991" i="2"/>
  <c r="K1030" i="2"/>
  <c r="L1030" i="2"/>
  <c r="K1034" i="2"/>
  <c r="L1034" i="2"/>
  <c r="K1142" i="2"/>
  <c r="L1142" i="2"/>
  <c r="K1201" i="2"/>
  <c r="L1201" i="2"/>
  <c r="K1214" i="2"/>
  <c r="L1214" i="2"/>
  <c r="K1232" i="2"/>
  <c r="L1232" i="2"/>
  <c r="K1240" i="2"/>
  <c r="L1240" i="2"/>
  <c r="K1263" i="2"/>
  <c r="L1263" i="2"/>
  <c r="K1274" i="2"/>
  <c r="L1274" i="2"/>
  <c r="K1376" i="2"/>
  <c r="L1376" i="2"/>
  <c r="K1399" i="2"/>
  <c r="L1399" i="2"/>
  <c r="K1035" i="2"/>
  <c r="L1035" i="2"/>
  <c r="K1215" i="2"/>
  <c r="L1215" i="2"/>
  <c r="K1223" i="2"/>
  <c r="L1223" i="2"/>
  <c r="K1233" i="2"/>
  <c r="L1233" i="2"/>
  <c r="K1237" i="2"/>
  <c r="L1237" i="2"/>
  <c r="K1260" i="2"/>
  <c r="L1260" i="2"/>
  <c r="K1264" i="2"/>
  <c r="L1264" i="2"/>
  <c r="K1351" i="2"/>
  <c r="L1351" i="2"/>
  <c r="K1026" i="2"/>
  <c r="L1026" i="2"/>
  <c r="K1213" i="2"/>
  <c r="L1213" i="2"/>
  <c r="K1261" i="2"/>
  <c r="L1261" i="2"/>
  <c r="K1265" i="2"/>
  <c r="L1265" i="2"/>
  <c r="K1241" i="2"/>
  <c r="L1241" i="2"/>
  <c r="K1021" i="2"/>
  <c r="L1021" i="2"/>
  <c r="K1041" i="2"/>
  <c r="L1041" i="2"/>
  <c r="K1235" i="2"/>
  <c r="L1235" i="2"/>
  <c r="K1239" i="2"/>
  <c r="L1239" i="2"/>
  <c r="K1252" i="2"/>
  <c r="L1252" i="2"/>
  <c r="K1257" i="2"/>
  <c r="L1257" i="2"/>
  <c r="K1308" i="2"/>
  <c r="L1308" i="2"/>
  <c r="J1426" i="2"/>
  <c r="F19" i="1"/>
  <c r="K993" i="2"/>
  <c r="L993" i="2"/>
  <c r="K1001" i="2"/>
  <c r="L1001" i="2"/>
  <c r="K1140" i="2"/>
  <c r="L1140" i="2"/>
  <c r="K994" i="2"/>
  <c r="H1418" i="2"/>
  <c r="D18" i="1"/>
  <c r="K1018" i="2"/>
  <c r="L1018" i="2"/>
  <c r="K1024" i="2"/>
  <c r="L1024" i="2"/>
  <c r="K976" i="2"/>
  <c r="L976" i="2"/>
  <c r="K1424" i="2"/>
  <c r="L1424" i="2"/>
  <c r="K1230" i="2"/>
  <c r="L1230" i="2"/>
  <c r="K1033" i="2"/>
  <c r="L1033" i="2"/>
  <c r="K982" i="2"/>
  <c r="L982" i="2"/>
  <c r="K854" i="2"/>
  <c r="L854" i="2"/>
  <c r="K855" i="2"/>
  <c r="L855" i="2"/>
  <c r="K1022" i="2"/>
  <c r="L1022" i="2"/>
  <c r="K904" i="2"/>
  <c r="L904" i="2"/>
  <c r="K900" i="2"/>
  <c r="L900" i="2"/>
  <c r="K1258" i="2"/>
  <c r="L1258" i="2"/>
  <c r="K977" i="2"/>
  <c r="L977" i="2"/>
  <c r="H1373" i="2"/>
  <c r="D16" i="1"/>
  <c r="K1421" i="2"/>
  <c r="L1421" i="2"/>
  <c r="K905" i="2"/>
  <c r="L905" i="2"/>
  <c r="K906" i="2"/>
  <c r="L906" i="2"/>
  <c r="K884" i="2"/>
  <c r="L884" i="2"/>
  <c r="K873" i="2"/>
  <c r="L873" i="2"/>
  <c r="K1253" i="2"/>
  <c r="L1253" i="2"/>
  <c r="K1012" i="2"/>
  <c r="L1012" i="2"/>
  <c r="K893" i="2"/>
  <c r="L893" i="2"/>
  <c r="K877" i="2"/>
  <c r="L877" i="2"/>
  <c r="K896" i="2"/>
  <c r="L896" i="2"/>
  <c r="K981" i="2"/>
  <c r="L981" i="2"/>
  <c r="K1116" i="2"/>
  <c r="L1116" i="2"/>
  <c r="K1009" i="2"/>
  <c r="L1009" i="2"/>
  <c r="H1165" i="2"/>
  <c r="D9" i="1"/>
  <c r="D22" i="1"/>
  <c r="H1043" i="2"/>
  <c r="D8" i="1"/>
  <c r="K1112" i="2"/>
  <c r="L1112" i="2"/>
  <c r="K1141" i="2"/>
  <c r="L1141" i="2"/>
  <c r="J1395" i="2"/>
  <c r="F17" i="1"/>
  <c r="K887" i="2"/>
  <c r="L887" i="2"/>
  <c r="K891" i="2"/>
  <c r="L891" i="2"/>
  <c r="K1181" i="2"/>
  <c r="L1181" i="2"/>
  <c r="K863" i="2"/>
  <c r="L863" i="2"/>
  <c r="K1029" i="2"/>
  <c r="L1029" i="2"/>
  <c r="K890" i="2"/>
  <c r="L890" i="2"/>
  <c r="K871" i="2"/>
  <c r="L871" i="2"/>
  <c r="K869" i="2"/>
  <c r="K1262" i="2"/>
  <c r="L1262" i="2"/>
  <c r="H1302" i="2"/>
  <c r="D14" i="1"/>
  <c r="J1418" i="2"/>
  <c r="F18" i="1"/>
  <c r="K864" i="2"/>
  <c r="L864" i="2"/>
  <c r="K868" i="2"/>
  <c r="L868" i="2"/>
  <c r="K1004" i="2"/>
  <c r="L1004" i="2"/>
  <c r="J1373" i="2"/>
  <c r="F16" i="1"/>
  <c r="H1395" i="2"/>
  <c r="D17" i="1"/>
  <c r="H1426" i="2"/>
  <c r="D19" i="1"/>
  <c r="K865" i="2"/>
  <c r="L865" i="2"/>
  <c r="K1028" i="2"/>
  <c r="L1028" i="2"/>
  <c r="K1040" i="2"/>
  <c r="L1040" i="2"/>
  <c r="K1231" i="2"/>
  <c r="L1231" i="2"/>
  <c r="K975" i="2"/>
  <c r="L975" i="2"/>
  <c r="K1027" i="2"/>
  <c r="L1027" i="2"/>
  <c r="K1238" i="2"/>
  <c r="L1238" i="2"/>
  <c r="J1302" i="2"/>
  <c r="F14" i="1"/>
  <c r="J1043" i="2"/>
  <c r="F8" i="1"/>
  <c r="K901" i="2"/>
  <c r="L901" i="2"/>
  <c r="H1194" i="2"/>
  <c r="K1171" i="2"/>
  <c r="L1171" i="2"/>
  <c r="K1190" i="2"/>
  <c r="L1190" i="2"/>
  <c r="K1192" i="2"/>
  <c r="L1192" i="2"/>
  <c r="K1179" i="2"/>
  <c r="L1179" i="2"/>
  <c r="K1180" i="2"/>
  <c r="L1180" i="2"/>
  <c r="K1172" i="2"/>
  <c r="L1172" i="2"/>
  <c r="K1184" i="2"/>
  <c r="L1184" i="2"/>
  <c r="H1269" i="2"/>
  <c r="D13" i="1"/>
  <c r="K1430" i="2"/>
  <c r="L1430" i="2"/>
  <c r="K1175" i="2"/>
  <c r="L1175" i="2"/>
  <c r="K1178" i="2"/>
  <c r="L1178" i="2"/>
  <c r="K1176" i="2"/>
  <c r="L1176" i="2"/>
  <c r="K1177" i="2"/>
  <c r="L1177" i="2"/>
  <c r="K1189" i="2"/>
  <c r="L1189" i="2"/>
  <c r="J1225" i="2"/>
  <c r="F12" i="1"/>
  <c r="H1225" i="2"/>
  <c r="D12" i="1"/>
  <c r="K1173" i="2"/>
  <c r="L1173" i="2"/>
  <c r="K1188" i="2"/>
  <c r="L1188" i="2"/>
  <c r="K1174" i="2"/>
  <c r="L1174" i="2"/>
  <c r="K1254" i="2"/>
  <c r="L1254" i="2"/>
  <c r="J1269" i="2"/>
  <c r="F13" i="1"/>
  <c r="J1165" i="2"/>
  <c r="F9" i="1"/>
  <c r="F22" i="1"/>
  <c r="K1222" i="2"/>
  <c r="L1222" i="2"/>
  <c r="J1194" i="2"/>
  <c r="F10" i="1"/>
  <c r="K913" i="2"/>
  <c r="L913" i="2"/>
  <c r="K1185" i="2"/>
  <c r="L1185" i="2"/>
  <c r="J1217" i="2"/>
  <c r="F11" i="1"/>
  <c r="H1217" i="2"/>
  <c r="D11" i="1"/>
  <c r="K1236" i="2"/>
  <c r="L1236" i="2"/>
  <c r="K1423" i="2"/>
  <c r="L1423" i="2"/>
  <c r="K1011" i="2"/>
  <c r="L1011" i="2"/>
  <c r="K1010" i="2"/>
  <c r="L1010" i="2"/>
  <c r="K874" i="2"/>
  <c r="L874" i="2"/>
  <c r="K867" i="2"/>
  <c r="L867" i="2"/>
  <c r="K878" i="2"/>
  <c r="L878" i="2"/>
  <c r="K866" i="2"/>
  <c r="L866" i="2"/>
  <c r="K889" i="2"/>
  <c r="L889" i="2"/>
  <c r="K1267" i="2"/>
  <c r="L1267" i="2"/>
  <c r="K888" i="2"/>
  <c r="L888" i="2"/>
  <c r="K882" i="2"/>
  <c r="L882" i="2"/>
  <c r="K872" i="2"/>
  <c r="L872" i="2"/>
  <c r="K1198" i="2"/>
  <c r="L1198" i="2"/>
  <c r="I1346" i="2"/>
  <c r="E15" i="1"/>
  <c r="J1346" i="2"/>
  <c r="F15" i="1"/>
  <c r="L925" i="2"/>
  <c r="H987" i="2"/>
  <c r="D6" i="1"/>
  <c r="I987" i="2"/>
  <c r="E6" i="1"/>
  <c r="L870" i="2"/>
  <c r="I908" i="2"/>
  <c r="E5" i="1"/>
  <c r="H908" i="2"/>
  <c r="D5" i="1"/>
  <c r="L869" i="2"/>
  <c r="L997" i="2"/>
  <c r="L1373" i="2"/>
  <c r="G16" i="1"/>
  <c r="I1014" i="2"/>
  <c r="E7" i="1"/>
  <c r="L1043" i="2"/>
  <c r="G8" i="1"/>
  <c r="L992" i="2"/>
  <c r="I1623" i="2"/>
  <c r="L1302" i="2"/>
  <c r="G14" i="1"/>
  <c r="L1225" i="2"/>
  <c r="G12" i="1"/>
  <c r="L1346" i="2"/>
  <c r="G15" i="1"/>
  <c r="L1418" i="2"/>
  <c r="G18" i="1"/>
  <c r="L1395" i="2"/>
  <c r="G17" i="1"/>
  <c r="L908" i="2"/>
  <c r="G5" i="1"/>
  <c r="L846" i="2"/>
  <c r="G4" i="1"/>
  <c r="L1269" i="2"/>
  <c r="G13" i="1"/>
  <c r="L1217" i="2"/>
  <c r="G11" i="1"/>
  <c r="L1426" i="2"/>
  <c r="G19" i="1"/>
  <c r="J1014" i="2"/>
  <c r="F7" i="1"/>
  <c r="H1623" i="2"/>
  <c r="L1623" i="2"/>
  <c r="L994" i="2"/>
  <c r="H1014" i="2"/>
  <c r="D7" i="1"/>
  <c r="L1014" i="2"/>
  <c r="G7" i="1"/>
  <c r="L1621" i="2"/>
  <c r="G20" i="1"/>
  <c r="F6" i="1"/>
  <c r="L1165" i="2"/>
  <c r="G9" i="1"/>
  <c r="G22" i="1"/>
</calcChain>
</file>

<file path=xl/sharedStrings.xml><?xml version="1.0" encoding="utf-8"?>
<sst xmlns="http://schemas.openxmlformats.org/spreadsheetml/2006/main" count="5512" uniqueCount="2325">
  <si>
    <t>NO</t>
  </si>
  <si>
    <t>AÇIKLAMA</t>
  </si>
  <si>
    <t>BİRİM</t>
  </si>
  <si>
    <t>MİKTAR</t>
  </si>
  <si>
    <t>TOPLAM TUTAR
(TL)</t>
  </si>
  <si>
    <t>1.1</t>
  </si>
  <si>
    <t>1.2</t>
  </si>
  <si>
    <t>1.3</t>
  </si>
  <si>
    <t>1.4</t>
  </si>
  <si>
    <t>1.5</t>
  </si>
  <si>
    <t>1.6</t>
  </si>
  <si>
    <t>1.7</t>
  </si>
  <si>
    <t>1.8</t>
  </si>
  <si>
    <t>2.1</t>
  </si>
  <si>
    <t>2.2</t>
  </si>
  <si>
    <t>2.3</t>
  </si>
  <si>
    <t>2.4</t>
  </si>
  <si>
    <t>2.5</t>
  </si>
  <si>
    <t>GENEL TOPLAM</t>
  </si>
  <si>
    <t>MALZEME BİRİM FİYATI</t>
  </si>
  <si>
    <t>İŞÇİLİK BİRİM FİYATI</t>
  </si>
  <si>
    <t>TOPLAM BİRİM FİYAT</t>
  </si>
  <si>
    <t>TOPLAM TUTAR</t>
  </si>
  <si>
    <t>1</t>
  </si>
  <si>
    <t>KUVVETLİ AKIM SİSTEMLERİ</t>
  </si>
  <si>
    <t>ALÇAK GERİLİM PANOLARI</t>
  </si>
  <si>
    <t>Set</t>
  </si>
  <si>
    <t>KUVVETLİ AKIM KABLOLARI</t>
  </si>
  <si>
    <t>1.2.1</t>
  </si>
  <si>
    <t>NHXMH kablo</t>
  </si>
  <si>
    <t>1.2.1.1</t>
  </si>
  <si>
    <t>HALOGEN FREE KABLOLAR</t>
  </si>
  <si>
    <t>ANAHAT VE BESLEME HATLARI ALEV İLETMEYEN HALOJENSİZ KABLOLAR</t>
  </si>
  <si>
    <t>3x2.5 mm2 KURŞUNSUZ PVC İZOL.KABLO.BESLEME HATTI (NHXMH)</t>
  </si>
  <si>
    <t>1.2.2</t>
  </si>
  <si>
    <t>1.2.2.1</t>
  </si>
  <si>
    <t>1.2.2.2</t>
  </si>
  <si>
    <t>2.2.3</t>
  </si>
  <si>
    <t>1.2.3.1</t>
  </si>
  <si>
    <t>1.2.3.2</t>
  </si>
  <si>
    <t>2.2.4</t>
  </si>
  <si>
    <t>1.3.1</t>
  </si>
  <si>
    <t>KABLO TAVALARI VE MERDİVENLERİ</t>
  </si>
  <si>
    <t>1.3.1.1</t>
  </si>
  <si>
    <t>1.3.1.2</t>
  </si>
  <si>
    <t>1.3.1.3</t>
  </si>
  <si>
    <t>1.3.1.4</t>
  </si>
  <si>
    <t>AYDINLATMA VE PRİZ SORTİLERİ</t>
  </si>
  <si>
    <t>1.4.1</t>
  </si>
  <si>
    <t>1.4.1.1</t>
  </si>
  <si>
    <t>1.4.1.2</t>
  </si>
  <si>
    <t>Komütatör Sorti</t>
  </si>
  <si>
    <t>1.4.1.3</t>
  </si>
  <si>
    <t>1.4.1.4</t>
  </si>
  <si>
    <t>1.4.1.5</t>
  </si>
  <si>
    <t>1.4.2</t>
  </si>
  <si>
    <t>PRİZ SORTİLERİ</t>
  </si>
  <si>
    <t>1.4.2.1</t>
  </si>
  <si>
    <t>1.4.2.2</t>
  </si>
  <si>
    <t>1.4.2.4</t>
  </si>
  <si>
    <t>2.5.1</t>
  </si>
  <si>
    <t>2.5.2</t>
  </si>
  <si>
    <t>2.5.3</t>
  </si>
  <si>
    <t>2.5.4</t>
  </si>
  <si>
    <t>2.5.5</t>
  </si>
  <si>
    <t>2.5.6</t>
  </si>
  <si>
    <t>2.5.7</t>
  </si>
  <si>
    <t>2.5.8</t>
  </si>
  <si>
    <t>AYDINLATMA ARMATÜRLERİ</t>
  </si>
  <si>
    <t xml:space="preserve">Aydınlatma Armatürleri (AMPUL VE BALAST DAHİLDİR) </t>
  </si>
  <si>
    <t>1.7.1</t>
  </si>
  <si>
    <t>1.7.2</t>
  </si>
  <si>
    <t>1.7.3</t>
  </si>
  <si>
    <t>1.7.4</t>
  </si>
  <si>
    <t>1.7.5</t>
  </si>
  <si>
    <t>1.7.6</t>
  </si>
  <si>
    <t>1.7.7</t>
  </si>
  <si>
    <t>1.7.8</t>
  </si>
  <si>
    <t>UPS CİHAZI</t>
  </si>
  <si>
    <t>1.8.1</t>
  </si>
  <si>
    <t>1.8.2</t>
  </si>
  <si>
    <t>2</t>
  </si>
  <si>
    <t>ZAYIF AKIM SİSTEMLERİ</t>
  </si>
  <si>
    <t>2.1.1</t>
  </si>
  <si>
    <t>2.1.2</t>
  </si>
  <si>
    <t>Aktif Cihaz</t>
  </si>
  <si>
    <t>2.1.3</t>
  </si>
  <si>
    <t>2.1.4</t>
  </si>
  <si>
    <t>2.1.5</t>
  </si>
  <si>
    <t>Kablolama</t>
  </si>
  <si>
    <t>2.1.6</t>
  </si>
  <si>
    <t>2.1.7</t>
  </si>
  <si>
    <t>2.1.8</t>
  </si>
  <si>
    <t>2.1.9</t>
  </si>
  <si>
    <t>2.1.10</t>
  </si>
  <si>
    <t>2.1.11</t>
  </si>
  <si>
    <t>2.1.12</t>
  </si>
  <si>
    <t>Rack Kabinet</t>
  </si>
  <si>
    <t>2.1.13</t>
  </si>
  <si>
    <t>2.1.14</t>
  </si>
  <si>
    <t>2.1.15</t>
  </si>
  <si>
    <t>4Lü Termostatlı Fan</t>
  </si>
  <si>
    <t>2.1.16</t>
  </si>
  <si>
    <t>Dikey Organizer</t>
  </si>
  <si>
    <t>2.1.17</t>
  </si>
  <si>
    <t>2.1.18</t>
  </si>
  <si>
    <t>Tekerlek Modülü</t>
  </si>
  <si>
    <t>2.1.19</t>
  </si>
  <si>
    <t>1U, Organizer</t>
  </si>
  <si>
    <t>Kurulum, Devreye Alma</t>
  </si>
  <si>
    <t>Test, Devreye Alma ve Mühendislik Hizmetleri</t>
  </si>
  <si>
    <t>YANGIN İHBAR SİSTEMİ</t>
  </si>
  <si>
    <t>2.2.1</t>
  </si>
  <si>
    <t>2.2.2</t>
  </si>
  <si>
    <t>2.2.5</t>
  </si>
  <si>
    <t>2.2.6</t>
  </si>
  <si>
    <t>2.2.7</t>
  </si>
  <si>
    <t>2.2.8</t>
  </si>
  <si>
    <t>2.2.9</t>
  </si>
  <si>
    <t>2.2.10</t>
  </si>
  <si>
    <t>2.2.11</t>
  </si>
  <si>
    <t>2.2.12</t>
  </si>
  <si>
    <t>Deprem Sensörü</t>
  </si>
  <si>
    <t>SESLENDİRME VE ACİL ANONS SİSTEMİ</t>
  </si>
  <si>
    <t>Acil Anons Seslendirme Sistemleri</t>
  </si>
  <si>
    <t>Acil anons sistemi tesisatı cihazlarının, ekipmanlarının ve gerekli malzemelerinin teknik şartnameye uygun olarak projede gösterilen yere montajı, montaj için gerekli her nevi ufak malzeme ve işçilik dahil kablo bağlantılarının yapılması, panellerde, kablo uç noktalarında ve belirli aralıklarla kablo etiketlemelerinin yapılıp çalışır halde teslimi.</t>
  </si>
  <si>
    <t>2.3.1</t>
  </si>
  <si>
    <t>2.3.3</t>
  </si>
  <si>
    <t>2.3.4</t>
  </si>
  <si>
    <t>2.3.5</t>
  </si>
  <si>
    <t>2.3.8</t>
  </si>
  <si>
    <t>2.3.9</t>
  </si>
  <si>
    <t>2.3.10</t>
  </si>
  <si>
    <t>2.3.11</t>
  </si>
  <si>
    <t>2.3.12</t>
  </si>
  <si>
    <t>2.3.13</t>
  </si>
  <si>
    <t>2.3.14</t>
  </si>
  <si>
    <t>2.3.15</t>
  </si>
  <si>
    <t>2.3.16</t>
  </si>
  <si>
    <t>IP CCTV SİSTEMİ</t>
  </si>
  <si>
    <t>2.4.1</t>
  </si>
  <si>
    <t>2.4.2</t>
  </si>
  <si>
    <t>2.4.3</t>
  </si>
  <si>
    <t>2.4.4</t>
  </si>
  <si>
    <t>2.4.5</t>
  </si>
  <si>
    <t>2.4.6</t>
  </si>
  <si>
    <t>2.4.7</t>
  </si>
  <si>
    <t>2.4.8</t>
  </si>
  <si>
    <t>1.3.1.8</t>
  </si>
  <si>
    <t>Trifaze Priz Sortisi (5x2,5 NHXMH Kablo İle)</t>
  </si>
  <si>
    <t>5x2.5 mm2 KURŞUNSUZ PVC İZOL.KABLO.BESLEME HATTI (NHXMH)</t>
  </si>
  <si>
    <t>1.3.1.9</t>
  </si>
  <si>
    <t>1.4.2.3</t>
  </si>
  <si>
    <t>2.1.21</t>
  </si>
  <si>
    <t>2.1.22</t>
  </si>
  <si>
    <t>2.1.23</t>
  </si>
  <si>
    <t>2.1.24</t>
  </si>
  <si>
    <t>2.1.25</t>
  </si>
  <si>
    <t>2.1.26</t>
  </si>
  <si>
    <t>2.1.27</t>
  </si>
  <si>
    <t>2.1.28</t>
  </si>
  <si>
    <t>2.1.29</t>
  </si>
  <si>
    <t xml:space="preserve">Buton Yüzey Montaj Kutusu </t>
  </si>
  <si>
    <t>2.3.6</t>
  </si>
  <si>
    <t>2.3.7</t>
  </si>
  <si>
    <t>AMP - ECOLAN - HCS</t>
  </si>
  <si>
    <t>1.9</t>
  </si>
  <si>
    <t>1.9.1</t>
  </si>
  <si>
    <t>1.9.2</t>
  </si>
  <si>
    <t>TOPRAKLAMA-YILDIRIMDAN KORUMA  TESİSATI</t>
  </si>
  <si>
    <t>1.7.9</t>
  </si>
  <si>
    <t>1.7.10</t>
  </si>
  <si>
    <t>1.7.11</t>
  </si>
  <si>
    <t>1.2.3.3</t>
  </si>
  <si>
    <t>1.2.3.4</t>
  </si>
  <si>
    <t>1.2.3.5</t>
  </si>
  <si>
    <t>1.3.1.5</t>
  </si>
  <si>
    <t>1.3.1.6</t>
  </si>
  <si>
    <t>1.3.1.7</t>
  </si>
  <si>
    <t>TV SİSTEMİ</t>
  </si>
  <si>
    <t>Kablolar</t>
  </si>
  <si>
    <t>2.3.17</t>
  </si>
  <si>
    <t>2.3.18</t>
  </si>
  <si>
    <t>2.3.19</t>
  </si>
  <si>
    <t>2.3.20</t>
  </si>
  <si>
    <t>2.3.21</t>
  </si>
  <si>
    <t>2.3.22</t>
  </si>
  <si>
    <t>2.3.23</t>
  </si>
  <si>
    <t>2.3.24</t>
  </si>
  <si>
    <t>2.3.25</t>
  </si>
  <si>
    <t>2.3.26</t>
  </si>
  <si>
    <t>2.3.27</t>
  </si>
  <si>
    <t>2.3.28</t>
  </si>
  <si>
    <t>2.3.29</t>
  </si>
  <si>
    <t>2.3.30</t>
  </si>
  <si>
    <t>2.4.9</t>
  </si>
  <si>
    <t>2.4.10</t>
  </si>
  <si>
    <t>2.4.11</t>
  </si>
  <si>
    <t>2.4.12</t>
  </si>
  <si>
    <t>2.4.13</t>
  </si>
  <si>
    <t>2.4.14</t>
  </si>
  <si>
    <t>2.4.15</t>
  </si>
  <si>
    <t>2.4.16</t>
  </si>
  <si>
    <t>2.6</t>
  </si>
  <si>
    <t>2.6.1</t>
  </si>
  <si>
    <t>2.6.2</t>
  </si>
  <si>
    <t>2.6.3</t>
  </si>
  <si>
    <t>2.6.4</t>
  </si>
  <si>
    <t>2.6.5</t>
  </si>
  <si>
    <t>2.6.6</t>
  </si>
  <si>
    <t>2.6.7</t>
  </si>
  <si>
    <t>2.6.8</t>
  </si>
  <si>
    <t>2.6.9</t>
  </si>
  <si>
    <t>2.6.10</t>
  </si>
  <si>
    <t>2.6.11</t>
  </si>
  <si>
    <t>Ana Hat Yükselticisi, 9 Uydu + 1 Karasal girişli, 30 dB</t>
  </si>
  <si>
    <t>1.2.3</t>
  </si>
  <si>
    <t>1.2.4</t>
  </si>
  <si>
    <t>1.2.1.2</t>
  </si>
  <si>
    <t>1.2.3.6</t>
  </si>
  <si>
    <t>1.2.3.7</t>
  </si>
  <si>
    <t>1.2.3.8</t>
  </si>
  <si>
    <t>1.2.3.9</t>
  </si>
  <si>
    <t>1.2.3.10</t>
  </si>
  <si>
    <t>1.2.3.11</t>
  </si>
  <si>
    <t>1.2.3.12</t>
  </si>
  <si>
    <t>1.2.3.13</t>
  </si>
  <si>
    <t>1.2.3.14</t>
  </si>
  <si>
    <t>1.2.4.1</t>
  </si>
  <si>
    <t>1.2.4.2</t>
  </si>
  <si>
    <t>1.2.4.3</t>
  </si>
  <si>
    <t>1.2.4.4</t>
  </si>
  <si>
    <t>1.2.4.5</t>
  </si>
  <si>
    <t>1.2.4.6</t>
  </si>
  <si>
    <t>1.2.4.7</t>
  </si>
  <si>
    <t>1.2.4.8</t>
  </si>
  <si>
    <t>1.3.1.10</t>
  </si>
  <si>
    <t>1.3.1.11</t>
  </si>
  <si>
    <t>1.3.1.12</t>
  </si>
  <si>
    <t>1.3.1.13</t>
  </si>
  <si>
    <t>1.3.1.14</t>
  </si>
  <si>
    <t>1.3.1.15</t>
  </si>
  <si>
    <t>1.3.1.16</t>
  </si>
  <si>
    <t>1.3.2</t>
  </si>
  <si>
    <t>1.3.2.1</t>
  </si>
  <si>
    <t>1.3.2.2</t>
  </si>
  <si>
    <t>Etanj Normal Anahtar</t>
  </si>
  <si>
    <t>Etanj Vavien Anahtar</t>
  </si>
  <si>
    <t>Etanj Komütatör Anahtar</t>
  </si>
  <si>
    <t>1.5.1</t>
  </si>
  <si>
    <t>Sıva Üstü (Etanj) Kapaklı  Monofaze Topraklı Priz</t>
  </si>
  <si>
    <t>Ray Tipi Pano İçi Trifaze Priz</t>
  </si>
  <si>
    <t>1.5.2</t>
  </si>
  <si>
    <t>Etanj Normal sorti</t>
  </si>
  <si>
    <t>Etanj Komütatör Sorti</t>
  </si>
  <si>
    <t>1.7.12</t>
  </si>
  <si>
    <t>1.7.13</t>
  </si>
  <si>
    <t>1.7.14</t>
  </si>
  <si>
    <t>1.7.15</t>
  </si>
  <si>
    <t>1.7.16</t>
  </si>
  <si>
    <t>1.7.17</t>
  </si>
  <si>
    <t>1.7.18</t>
  </si>
  <si>
    <t>1.7.19</t>
  </si>
  <si>
    <t>1.7.20</t>
  </si>
  <si>
    <t>1.7.21</t>
  </si>
  <si>
    <t>1.7.22</t>
  </si>
  <si>
    <t>1.8.3</t>
  </si>
  <si>
    <t>1.8.4</t>
  </si>
  <si>
    <t>1.8.5</t>
  </si>
  <si>
    <t>1.8.6</t>
  </si>
  <si>
    <t>1.8.7</t>
  </si>
  <si>
    <t>1.8.8</t>
  </si>
  <si>
    <t>1.8.9</t>
  </si>
  <si>
    <t>1.6.1.1</t>
  </si>
  <si>
    <t>1.6.1.2</t>
  </si>
  <si>
    <t>1.6.1.3</t>
  </si>
  <si>
    <t>1.6.1.4</t>
  </si>
  <si>
    <t>1.6.1.5</t>
  </si>
  <si>
    <t>1.6.1.6</t>
  </si>
  <si>
    <t>2.2.13</t>
  </si>
  <si>
    <t>2.2.14</t>
  </si>
  <si>
    <t>2.2.15</t>
  </si>
  <si>
    <t>2.2.16</t>
  </si>
  <si>
    <t>2.2.17</t>
  </si>
  <si>
    <t>2.2.18</t>
  </si>
  <si>
    <t>2.2.19</t>
  </si>
  <si>
    <t>Single Mode 10km SFP Modül</t>
  </si>
  <si>
    <t>Cat.6 UTP KEYSTONE Jack</t>
  </si>
  <si>
    <t>Cat6 UTP Patch Cord 1M</t>
  </si>
  <si>
    <t>Ek Kaset 12P</t>
  </si>
  <si>
    <t>SC SM FO Pıgtaıl</t>
  </si>
  <si>
    <t>SC SM FO Patch Cord 1M</t>
  </si>
  <si>
    <t>2 li Termostatlı Fan</t>
  </si>
  <si>
    <t xml:space="preserve">6 lı Sigortalı Priz Grubu </t>
  </si>
  <si>
    <t>Yatay Organizer</t>
  </si>
  <si>
    <t xml:space="preserve">Yükseltilmiş Döşeme Altı Adreslenebilir  Kombine Dedektörü + INDIKATOR </t>
  </si>
  <si>
    <t>Sonlandırma Direnci</t>
  </si>
  <si>
    <t>2.3.31</t>
  </si>
  <si>
    <t>2.4.17</t>
  </si>
  <si>
    <t>2.4.18</t>
  </si>
  <si>
    <t>2.4.19</t>
  </si>
  <si>
    <t>2.6.12</t>
  </si>
  <si>
    <t>2.7</t>
  </si>
  <si>
    <t>2.7.1</t>
  </si>
  <si>
    <t>DPX³ 630/1600 veya DRX630 için 230V AC açtırma bobini</t>
  </si>
  <si>
    <t>230V AC açtırma bobini</t>
  </si>
  <si>
    <t>1.2.1.3</t>
  </si>
  <si>
    <t>Tk.</t>
  </si>
  <si>
    <t>1x16A C Anahtarlı Oto. Sigorta- 6kA</t>
  </si>
  <si>
    <t>Sinyal lambası ve sigortaları</t>
  </si>
  <si>
    <t>4 Kutuplu AG Parafudr ( C sınıfı , Max İşletme Gerilimi Uc=440V,
Nominal Gerilim Un=400 V Açma Süresi tA&lt;100ns Koruma Sınıfı IP20 )</t>
  </si>
  <si>
    <t>2.5.10</t>
  </si>
  <si>
    <t>2.5.11</t>
  </si>
  <si>
    <t>2.5.12</t>
  </si>
  <si>
    <t>2.5.13</t>
  </si>
  <si>
    <t>2.5.14</t>
  </si>
  <si>
    <t>2.5.15</t>
  </si>
  <si>
    <t>CAT6 HF U / FTP  kablo</t>
  </si>
  <si>
    <t>2x0,75mm² LIHCH</t>
  </si>
  <si>
    <t>2.7.2</t>
  </si>
  <si>
    <t>2.7.3</t>
  </si>
  <si>
    <t>4x0,75mm² LIHCH</t>
  </si>
  <si>
    <t>2.2.20</t>
  </si>
  <si>
    <t>2.2.21</t>
  </si>
  <si>
    <t>2.2.22</t>
  </si>
  <si>
    <t>2.2.23</t>
  </si>
  <si>
    <t>2.2.24</t>
  </si>
  <si>
    <t>2.2.25</t>
  </si>
  <si>
    <t>1x2x1,5+0,8mm² JE-H(st)H-FE180/ PH90</t>
  </si>
  <si>
    <t>Topraklama Test Klemensi</t>
  </si>
  <si>
    <t>2.1.30</t>
  </si>
  <si>
    <t>8 Core SM Fiber Optik Kablo</t>
  </si>
  <si>
    <t>4 Core SM Fiber Optik Kablo</t>
  </si>
  <si>
    <t>2.3.2</t>
  </si>
  <si>
    <t>2.3.32</t>
  </si>
  <si>
    <t>12V 7Ah Kuru Tip Akü</t>
  </si>
  <si>
    <t>1.2.5</t>
  </si>
  <si>
    <t>1.2.5.1</t>
  </si>
  <si>
    <t>1.2.5.2</t>
  </si>
  <si>
    <t>1.2.5.3</t>
  </si>
  <si>
    <t>1.2.5.4</t>
  </si>
  <si>
    <t>1.2.5.5</t>
  </si>
  <si>
    <t>1.2.5.6</t>
  </si>
  <si>
    <t>1.2.5.7</t>
  </si>
  <si>
    <t>Sistemin doğru ve eksiksiz çalışabilmesi için tüm gereken ekipmanlar öngörülmelidir.Özel Teknik Şartnamede tarif edildiği şekilde;  ilgili Standartlarda ve özelliklerde Topraklama ve Yıldırımdan Korunma Sistemi malzemelerinin projelerde gösterilen yere montajı , montaj için gerekli her nevi ufak malzeme ve işçilik dahil kablo bağlantıların,programlanmış, testleri yapılmış halde devreye alınmasıdır. ( EMO topraklama ölçüm raporu sunulacaktır. )
Yıldırımdan Korunma Sisteminde; Birleştirme Aparatları, elemanları, monotel fiyatları içerisinde öngörülecektir.</t>
  </si>
  <si>
    <t>3x40A C Anahtarlı Oto. Sigorta- 6kA</t>
  </si>
  <si>
    <t>3x32A C Anahtarlı Oto. Sigorta- 6kA</t>
  </si>
  <si>
    <t>1x10A C Anahtarlı Oto. Sigorta- 6kA</t>
  </si>
  <si>
    <t>4x40A APR Tipi Kaçak Akım Koruma Anahtarı -30mA 6kA</t>
  </si>
  <si>
    <t>4x40A 4 Kutuplu Kitlenebilir Pako Şalter</t>
  </si>
  <si>
    <t>3(1x40A) NH Sigortalı Yük Ayırıcı</t>
  </si>
  <si>
    <t>LEGRAND SCHNEIDER ABB SIEMENS EATON</t>
  </si>
  <si>
    <t>İŞÇİLİK</t>
  </si>
  <si>
    <t>KRAUS EMAS</t>
  </si>
  <si>
    <t>APATOR</t>
  </si>
  <si>
    <t xml:space="preserve">SİGMA EMAS GWEST
SİGORTALAR:LEGRAND ABB SIEMENS SCHNEIDER EATON </t>
  </si>
  <si>
    <t>ÖZNUR NEXANS HES PRYSMIAN</t>
  </si>
  <si>
    <t>GERSAN ARDIÇ KIRAÇ STS EAE</t>
  </si>
  <si>
    <t>CANLAR ESBİ PINARSAN</t>
  </si>
  <si>
    <t>BORULAR:CANLAR ESBİ PINARSAN
KABLOLAR:ÖZNUR NEXANS HES PRYSMIAN</t>
  </si>
  <si>
    <t>BEMSİ ÇETİNKAYA CETSAN
ŞALT:LEGRAN ABB SIEMENS SCHNEIDER EATON</t>
  </si>
  <si>
    <t xml:space="preserve">30W 60x60 cm SIVA ALTI/SIVA ÜZERİ LED AYDINLATMA ARMATÜRÜ  IP20 </t>
  </si>
  <si>
    <t xml:space="preserve">30W 60x60 cm SIVA ALTI/SIVA ÜZERİ LED AYDINLATMA ARMATÜRÜ  IP20 (3h AKÜLÜ) </t>
  </si>
  <si>
    <t>KARTAL GERSAN AMPER RADSAN ESCO</t>
  </si>
  <si>
    <t>Eş potansiyel Bara 400x50x5mm</t>
  </si>
  <si>
    <t>MAKELSAN ENEL POWER İNFORM</t>
  </si>
  <si>
    <t>RUIJIE DLINK ZYXEL</t>
  </si>
  <si>
    <t>ESTAP LANDE ULUSAL TEKNOLİNE</t>
  </si>
  <si>
    <t>ERSE 2M REÇBER NEXANS</t>
  </si>
  <si>
    <t>SEAGATE WESTERN DİGİTAL</t>
  </si>
  <si>
    <t>HP DELL LENOVO</t>
  </si>
  <si>
    <t>ESTAP LANDE ULUSAL TEKNOLINE</t>
  </si>
  <si>
    <t>RUIJIE DLİNK ZYXEL</t>
  </si>
  <si>
    <t>GENEL GİDER BİRİM FİYATI</t>
  </si>
  <si>
    <t>KABLO TAŞIYICILARI ve BORULAR</t>
  </si>
  <si>
    <t>ARAÇ BARİYER VE PLAKA TANIMA SİSTEMİ</t>
  </si>
  <si>
    <t xml:space="preserve">
ANAHTAR VE PRİZLER
</t>
  </si>
  <si>
    <t>Mekanik Otomasyon Kablolama 
(uç bağlantıları dahildir , nokta listesine göre kablo çekimi yapılacaktır.)</t>
  </si>
  <si>
    <t>Ad.</t>
  </si>
  <si>
    <t>1.3.2.3</t>
  </si>
  <si>
    <t>1.3.2.4</t>
  </si>
  <si>
    <t>1.3.2.5</t>
  </si>
  <si>
    <t>Cat6 UTP HF</t>
  </si>
  <si>
    <t>3x2,5mm² NYY</t>
  </si>
  <si>
    <t>1.2.3.15</t>
  </si>
  <si>
    <t>1.3.2.6</t>
  </si>
  <si>
    <t>1.3.2.7</t>
  </si>
  <si>
    <t>Mt.</t>
  </si>
  <si>
    <t>24-port gigabit +4x1GB SFP UPLINK L2 Yönetilebilir 370W POE Kamera+Tel+Data</t>
  </si>
  <si>
    <t>2.3.33</t>
  </si>
  <si>
    <t>20mm EMT Boru tüm dirsek muf kroşe elemanları dahil</t>
  </si>
  <si>
    <t>1.3.2.8</t>
  </si>
  <si>
    <t>1.3.2.9</t>
  </si>
  <si>
    <t>NICE M5 TANSA ÖZAK</t>
  </si>
  <si>
    <t>HIKVISION DAHUA HANWHA</t>
  </si>
  <si>
    <t>Wireless 300+867MBPS 1PORT 4 ANTEN 2.4/5GHz INDOOR ACCESS POINT</t>
  </si>
  <si>
    <t>NEXANS ERSE REÇBER 2M</t>
  </si>
  <si>
    <t>TOPRAKLAMA-YILDIRIMDAN KORUMA TESİSATI</t>
  </si>
  <si>
    <t>ESTAP LANDE TEKNOLINE ULUSAL</t>
  </si>
  <si>
    <t>1.8.10</t>
  </si>
  <si>
    <t>Topraklama Menholü (40x40x40cm) Beton</t>
  </si>
  <si>
    <t>BENQ  XİAOMİ LG</t>
  </si>
  <si>
    <t>Cat.6 UTP patch panel, boş 24 port</t>
  </si>
  <si>
    <t>SC SM FO Patch Cord 3M</t>
  </si>
  <si>
    <t>TELEFON VE DATA SİSTEMİ ve KABLOLAMA</t>
  </si>
  <si>
    <t>ARAÇ BARİYER VE PLAKA TANIMA SİSTEMİ ve KABLOLAMA</t>
  </si>
  <si>
    <t>IP CCTV SİSTEMİ ve KABLOLAMA</t>
  </si>
  <si>
    <t>SESLENDİRME VE ACİL ANONS SİSTEMİ ve KABLOLAMA</t>
  </si>
  <si>
    <t>YANGIN İHBAR SİSTEMİ ve KABLOLAMA</t>
  </si>
  <si>
    <t>TV SİSTEMİ ve KABLOLAMA</t>
  </si>
  <si>
    <t>MARKA LİSTESİ</t>
  </si>
  <si>
    <t>ERSE 2M REÇBER BİRTAŞ</t>
  </si>
  <si>
    <t>Etanj Vavien Sorti</t>
  </si>
  <si>
    <t>Vavien Sorti</t>
  </si>
  <si>
    <t>1.2.4.9</t>
  </si>
  <si>
    <t>1.2.4.10</t>
  </si>
  <si>
    <t>2.3.34</t>
  </si>
  <si>
    <t xml:space="preserve">4x1,5 mm2 LIHCH </t>
  </si>
  <si>
    <t>MALZEME TUTARI
(TL)</t>
  </si>
  <si>
    <t>İŞÇİLİK TUTARI
(TL)</t>
  </si>
  <si>
    <t>GENEL GİDER TUTARI
(TL)</t>
  </si>
  <si>
    <t xml:space="preserve">AMPER RADSAN GERSAN ESCO </t>
  </si>
  <si>
    <t>ÇETİNKAYA ÇETSAN LUX WARES</t>
  </si>
  <si>
    <t>YAVUZ TONGÜN ÇETİNKAYA ÇETSAN</t>
  </si>
  <si>
    <t>YÜKLENİCİ</t>
  </si>
  <si>
    <t>METCOM-HOBİ</t>
  </si>
  <si>
    <t>LENOVO LG HP</t>
  </si>
  <si>
    <t xml:space="preserve">Network Kart Kiti (Herbir Panel İçin gerekli) </t>
  </si>
  <si>
    <t>SPEKON CEPAŞ MIKAFON ELEKTROPANÇ SESSAN</t>
  </si>
  <si>
    <t>ETK HCS ORİNG ECOLAN</t>
  </si>
  <si>
    <t>Sistem Merkezi Devreye Alma, Mühendislik ve Süpervizyon Hizmetleri Fiber Ekler, 
Sonlandırmalar, kabinet dizilimi ve kurulumu, patch atlamaları, uç çakımları) etiketleme ve testler dahil</t>
  </si>
  <si>
    <t>ALÇAK GERİLİM PANOLARI
Özel teknik şartnamede belirtildiği şekilde ve tek hat şemasında açılımı verilen donanımda ve  tüm cihaz ve ölçü aletleri vede % 20 yedek yeri ile birlikte içine alacak ebatta imali olmak üzere profil haline getirilmiş DKP saçtan mamul,önden kontrol edilebilir, kapaklı saç pano tesisi bara mesnet izolatörleri ve pertinaks plakları, iç bağlantı iletkenleri, plastik kablo yolları, cihazların etkilenmesi besleme ve kumanda kablolarının kesitlerine uygun büyüklükte klemensleri giriş ve çıkış kabloları için rakorlar,U profilden montaj kaidesi, bara ve şalt malzeme,  hareketli kapakların topraklanması, her nevi ufak malzemesi dahil tablonun montaj işçiliğidir. tablo montajı fiyatına tüm kabloların uç bağlantıları dahil edilecektir.  Panolar tekhat şemasına uygun çalışır vaziyette teslim edilecektir. Tüm şalt malzeme Icu kapasitesi proje değerlerine uygun olacaktır. (IEC 61439-1, IEC 60947 standartlarına uygun) Klemensler çift katlı olacaktır.
DİKİLİ TİP PANOLAR SİSMİK HALATLARLA TAVAN VE DUVARA SABİTLENECEKTİR,PANO FİYATLARINA DAHİLDİR.</t>
  </si>
  <si>
    <t>1.3.1.17</t>
  </si>
  <si>
    <t>200mm Kablo Kanal Kapağı-Kapak Kelepçeleri Dahil T=2mm,Dönüş elemanlarının kapakları birim fiyata dahildir.</t>
  </si>
  <si>
    <t>1.3.1.18</t>
  </si>
  <si>
    <t>300mm Kablo Kanal Kapağı-Kapak Kelepçeleri Dahil T=2mm,Dönüş elemanlarının kapakları birim fiyata dahildir.</t>
  </si>
  <si>
    <t>1.3.1.19</t>
  </si>
  <si>
    <t>500mm Kablo Kanal Kapağı-Kapak Kelepçeleri Dahill T=2mm,Dönüş elemanlarının kapakları birim fiyata dahildir.</t>
  </si>
  <si>
    <t>1.3.1.20</t>
  </si>
  <si>
    <t>600mm Kablo Kanal Kapağı-Kapak Kelepçeleri Dahil T=2mm,Dönüş elemanlarının kapakları birim fiyata dahildir.</t>
  </si>
  <si>
    <t xml:space="preserve">4 TB SEAGATE 3.5 AI SATA3 7200RPM 256MB </t>
  </si>
  <si>
    <t>22U 19" (800x800)mm Dikili Tip Kabin</t>
  </si>
  <si>
    <t>CAT6 UTP KEYSTONEJACK</t>
  </si>
  <si>
    <t>24 PORT dublex SC SM FO. PATCH PANEL boş</t>
  </si>
  <si>
    <t>SM SC FO. ADAPTOR</t>
  </si>
  <si>
    <t>2.3.35</t>
  </si>
  <si>
    <t>2x1,5mm² LIHCH Fe180</t>
  </si>
  <si>
    <t>Ekstrüzon Alüminyum Profil Gövdeli,Yan Kapak PC Enjeksiyon,Opal Difüzör,	Eloksal Kaplama,Simetrik Optik UGR ≤ 22 CRI ≥ 80 IP65 IK08 36W 4000lümen 50x1155x71mm 4000Kelvin Etanj Led Armatür</t>
  </si>
  <si>
    <t>Ekstrüzon Alüminyum Profil Gövdeli,Yan Kapak PC Enjeksiyon,Opal Difüzör,	Eloksal Kaplama,Simetrik Optik UGR ≤ 22 CRI ≥ 80 IP65 IK08 36W 4000lümen 50x1155x71mm 4000Kelvin Etanj Led Armatür, 3 saat acil aydınlatma kitli</t>
  </si>
  <si>
    <t>Alüminyum Enjeksiyon Gövde,Yüksek Geçirgenlikli Opal Difüzör,Alüminyum Enjeksiyon çerçeve,Elektrostatik Toz Boya,Simetrik Optik,UGR ≤ 22,CRI ≥ 80, Ip44,10W 720 lümen Sıva Altı Spot Armatür</t>
  </si>
  <si>
    <t>Alüminyum Enjeksiyon Gövde,Yüksek Geçirgenlikli Opal Difüzör,Alüminyum Enjeksiyon çerçeve,Elektrostatik Toz Boya,Simetrik Optik,UGR ≤ 22,CRI ≥ 80, Ip44,10W 720 lümen Sıva Altı Spot Armatür, 3 saat acil aydınlatma kitli</t>
  </si>
  <si>
    <t>70W 6mt Tek Kollu Açılu DİREKLİ AYDINLATMA ARMATÜRÜ,HIGH POWER LEDLİ,GENİŞ AÇILI OPTİK ÖZEL LENS,IP65 Driver,Ankrajlar Dahil,Et Kalınlığı 2mm,15x15cm Kare Gövde,ALÜMİNYUM GÖVDE,ESTETİK BOYALI YÜZEY,Korozyona Dayanıklı,Betona montaj kimyasal dübeller dahil</t>
  </si>
  <si>
    <t>4x70W 6mt Dört Kollu Açılı DİREKLİ AYDINLATMA ARMATÜRÜ ÇİFT KONSOLLUHIGH POWER LEDLİ,GENİŞ AÇILI OPTİK ÖZEL LENS,IP65 Driver,Ankrajlar Dahil,Et Kalınlığı 2mm,15x15cm Kare Gövde,ALÜMİNYUM GÖVDE,ESTETİK BOYALI YÜZEY,Korozyona Dayanıklı,Betona montaj kimyasal dübeller dahil</t>
  </si>
  <si>
    <t>Radar Hareket Sensörlü LED Duylu Tavan Armatürü,E27,3mt algılama yüksekliği,9mt kapsama çapı,Opak Camlı,Alüminyum Gövdeli 3 saat acil aydınlatma kitli,15W Led Ampul Dahil</t>
  </si>
  <si>
    <t>Ekstrüzon Alüminyum Profil Gövdeli,Yan Kapak PC Enjeksiyon,Opal Difüzör,	Eloksal Kaplama,Simetrik Optik UGR ≤ 22 CRI ≥ 80 IP65 IK08 28W 4000lümen 50x1155x71mm 4000Kelvin Etanj Led Armatür-Asansör Kuyusu</t>
  </si>
  <si>
    <t>Ekstrüzon Alüminyum Profil Gövdeli,Yan Kapak PC Enjeksiyon,Opal Difüzör,	Eloksal Kaplama,Simetrik Optik UGR ≤ 22 CRI ≥ 80 IP65 IK08 28W 4000lümen 50x1155x71mm 4000Kelvin Etanj Led Armatür-3 saat acil aydınlatma kitli-Asansör Kuyusu</t>
  </si>
  <si>
    <t>150W LED DRİVER IP44 Kapalı Tip 24V DC</t>
  </si>
  <si>
    <t>100-120cm Lineer Led Sarkıt Armatür 5x8cm Eloksal Alüminyum Gövde</t>
  </si>
  <si>
    <t>Backlight Sıva Üstü 12W 1000 lümen 4000K IP44 225mmx55mm SMD mid power led</t>
  </si>
  <si>
    <t>5W 330lm	 Li-Ion 3.7V 2000mA Düvar Tipi LED EXIT ARMATÜRÜ Saç konstüksiyon üzeri opal plexiglas ,325x195x55mm Pleksiglas,Elektrostatik Toz Boyalı,Sürekli Yanan 3h kitli,ihtiyaca göre zincir,sıvaaltı aparat vs montaj aparatları dahil</t>
  </si>
  <si>
    <t xml:space="preserve">* Armatürlerin  temini, armatür tipine göre gerekli olan, montaj çemberi, duyu her çeşit ampulü, her bir ampule ayrı balastı, starteri, kondansatörü,230/12 V'luk trafosu, bağlantı parçaları ve her tür ünite dahil komple armatürün projede belirtilen yerine montajı, bağlantılarının yapılması, çalışır halde teslimi.
* Akülü armatürler için ampül tipine uygun acil aydınlatma üniteleri (conversion kit) seçilecektir. 
* Tüm balast ve trafolar Elektronik olacaktır.
* Özel güç kaynağı ihtiyacı olan armatürlere ait güç kaynakları (Özellikle LED armatürlere ait power supply'lar) , armatür ile birlikte temin edilecektir.
*Armatürler yanar vaziyette ampul led dahil ve montaj aparatları dahil olarak teklif edilecektir.
</t>
  </si>
  <si>
    <t>Dış Bükey 100mm e:1,5mm-Sıcak Daldırma Galvaniz</t>
  </si>
  <si>
    <t>Dış Bükey 200mm e:1,5mm-Sıcak Daldırma Galvaniz</t>
  </si>
  <si>
    <t>Dış Bükey 400mm e:2mm-Sıcak Daldırma Galvaniz</t>
  </si>
  <si>
    <t>Dış Bükey 500mm e:2mm-Sıcak Daldırma Galvaniz</t>
  </si>
  <si>
    <t>Dış Bükey 600mm e:2mm-Sıcak Daldırma Galvaniz</t>
  </si>
  <si>
    <t>h:40mm e:1,5mm Seperatör-Sıcak Daldırma Galvaniz</t>
  </si>
  <si>
    <t>20 kVA (3ph, 3ph) ups Akü dolabı dahil 10dk süreli online</t>
  </si>
  <si>
    <t>TR-1 KXA 27504 2500A AL 4W IP55</t>
  </si>
  <si>
    <t>KXA 27504-B-TR41-2500 A-BOLT-ON-TRAFO ÜSTÜ-4W(R=RAL7038)</t>
  </si>
  <si>
    <t>KXA 27504-B-X-2500 A-BOLT-ON-ARABOY BUSBAR-4W(R=RAL7038, X=1000
Adet=3)</t>
  </si>
  <si>
    <t>KXA 27504-B-D-2500 A-BOLT-ON-AŞAĞI DÖNÜŞ-4W(R=RAL7038)</t>
  </si>
  <si>
    <t>KXA 27504-B-R-2500 A-BOLT-ON-SAĞA DÖNÜŞ-4W(R=RAL7038)</t>
  </si>
  <si>
    <t>KXA 27504-B-P10-2500 A-BOLT-ON-PANO GİRİŞ-4W(R=RAL7038)</t>
  </si>
  <si>
    <t>2500-A FLEXIBLE TAKIM(Tk/Adet=8)</t>
  </si>
  <si>
    <t>TR-2 KXA 27504 2500A AL 4W IP55</t>
  </si>
  <si>
    <t>KXA 27504-B-STD-2500 A-BOLT-ON-DÜZBOY BUSBAR-4W(R=RAL7038)</t>
  </si>
  <si>
    <t>KXA 27504-B-X-2500 A-BOLT-ON-ARABOY BUSBAR-4W(R=RAL7038, X=1000
Adet=4)</t>
  </si>
  <si>
    <t>KXA 27504-B-L-2500 A-BOLT-ON-SOLA DÖNÜŞ-4W(R=RAL7038)</t>
  </si>
  <si>
    <t>TR-3 KXA 27504 2500A AL 4W IP55</t>
  </si>
  <si>
    <t>TR-4 KXA 27504 2500A AL 4W IP55</t>
  </si>
  <si>
    <t>DİKEY ASKI SİSTEMİ</t>
  </si>
  <si>
    <t>KB BUSBAR ASKI SİSTEMİ (ÖZEL)</t>
  </si>
  <si>
    <t>EAE CEKMELI DUBEL(M12) (DIN975)</t>
  </si>
  <si>
    <t>KX-DIKEY SAFT ASKI SABITLEME TAKIMI</t>
  </si>
  <si>
    <t>Kg.</t>
  </si>
  <si>
    <t>YATAY ASKI SİSTEMİ</t>
  </si>
  <si>
    <t>KX-KB "L" KÖŞEBENT BAGLANTI TAKIMI</t>
  </si>
  <si>
    <t>IDT ASKI TAKIMI (4 MM) (SIC.D)</t>
  </si>
  <si>
    <t>KX-KB IDY ASKI TAKIMI</t>
  </si>
  <si>
    <t>1.6.1</t>
  </si>
  <si>
    <t>1.6.4.4</t>
  </si>
  <si>
    <t>1.6.2</t>
  </si>
  <si>
    <t>1.6.2.1</t>
  </si>
  <si>
    <t>1.6.2.4</t>
  </si>
  <si>
    <t>1.6.2.2</t>
  </si>
  <si>
    <t>1.6.2.3</t>
  </si>
  <si>
    <t>1.6.2.5</t>
  </si>
  <si>
    <t>1.6.2.6</t>
  </si>
  <si>
    <t>1.6.2.7</t>
  </si>
  <si>
    <t>1.6.2.8</t>
  </si>
  <si>
    <t>1.6.3</t>
  </si>
  <si>
    <t>1.6.3.1</t>
  </si>
  <si>
    <t>1.6.3.4</t>
  </si>
  <si>
    <t>1.6.3.2</t>
  </si>
  <si>
    <t>1.6.3.3</t>
  </si>
  <si>
    <t>1.6.3.5</t>
  </si>
  <si>
    <t>1.6.3.6</t>
  </si>
  <si>
    <t>1.6.4</t>
  </si>
  <si>
    <t>1.6.4.1</t>
  </si>
  <si>
    <t>1.6.4.2</t>
  </si>
  <si>
    <t>1.6.4.3</t>
  </si>
  <si>
    <t>1.6.4.5</t>
  </si>
  <si>
    <t>1.6.4.6</t>
  </si>
  <si>
    <t>1.6.4.7</t>
  </si>
  <si>
    <t>1.6.5</t>
  </si>
  <si>
    <t>1.6.5.1</t>
  </si>
  <si>
    <t>1.6.5.2</t>
  </si>
  <si>
    <t>1.6.5.3</t>
  </si>
  <si>
    <t>1.6.5.4</t>
  </si>
  <si>
    <t>1.6.5.5</t>
  </si>
  <si>
    <t>1.6.5.6</t>
  </si>
  <si>
    <t>1.6.5.7</t>
  </si>
  <si>
    <t>1.6.5.8</t>
  </si>
  <si>
    <t>1.6.5.9</t>
  </si>
  <si>
    <t>1.6.5.10</t>
  </si>
  <si>
    <t>1.6.5.11</t>
  </si>
  <si>
    <t>1.6.6</t>
  </si>
  <si>
    <t>1.6.6.1</t>
  </si>
  <si>
    <t>1.6.6.2</t>
  </si>
  <si>
    <t>1.6.6.3</t>
  </si>
  <si>
    <t>1.6.6.4</t>
  </si>
  <si>
    <t>1.6.6.5</t>
  </si>
  <si>
    <t>1.6.6.6</t>
  </si>
  <si>
    <t>1.6.6.7</t>
  </si>
  <si>
    <t>1.6.6.8</t>
  </si>
  <si>
    <t>1.6.6.9</t>
  </si>
  <si>
    <t>1.6.6.10</t>
  </si>
  <si>
    <t>1.6.6.11</t>
  </si>
  <si>
    <t>1.6.7</t>
  </si>
  <si>
    <t>1.6.7.1</t>
  </si>
  <si>
    <t>1.6.7.2</t>
  </si>
  <si>
    <t>1.6.7.3</t>
  </si>
  <si>
    <t>1.6.7.4</t>
  </si>
  <si>
    <t>1.6.7.5</t>
  </si>
  <si>
    <t>1.6.7.6</t>
  </si>
  <si>
    <t>1.6.7.7</t>
  </si>
  <si>
    <t>1.6.7.8</t>
  </si>
  <si>
    <t>1.6.7.9</t>
  </si>
  <si>
    <t>1.6.7.10</t>
  </si>
  <si>
    <t>1.6.7.11</t>
  </si>
  <si>
    <t>1.6.7.12</t>
  </si>
  <si>
    <t>1.6.8</t>
  </si>
  <si>
    <t>1.6.8.1</t>
  </si>
  <si>
    <t>1.6.8.2</t>
  </si>
  <si>
    <t>1.6.8.3</t>
  </si>
  <si>
    <t>1.6.8.4</t>
  </si>
  <si>
    <t>1.6.8.5</t>
  </si>
  <si>
    <t>1.6.8.6</t>
  </si>
  <si>
    <t>1.6.8.7</t>
  </si>
  <si>
    <t>1.6.8.8</t>
  </si>
  <si>
    <t>1.6.8.9</t>
  </si>
  <si>
    <t>1.6.8.10</t>
  </si>
  <si>
    <t>1.6.8.11</t>
  </si>
  <si>
    <t>1.6.8.12</t>
  </si>
  <si>
    <t>1.6.9</t>
  </si>
  <si>
    <t>1.6.9.1</t>
  </si>
  <si>
    <t>1.6.9.2</t>
  </si>
  <si>
    <t>1.6.9.3</t>
  </si>
  <si>
    <t>1.6.10</t>
  </si>
  <si>
    <t>1.6.10.1</t>
  </si>
  <si>
    <t>1.6.10.2</t>
  </si>
  <si>
    <t>1.6.10.3</t>
  </si>
  <si>
    <t>1.6.10.4</t>
  </si>
  <si>
    <t>1.6.10.5</t>
  </si>
  <si>
    <t>BUSBAR ve ASKI DESTEK SİSTEMİ</t>
  </si>
  <si>
    <t>3x35/16mm² N2XH</t>
  </si>
  <si>
    <t>3x95/50mm² N2XH Fe180</t>
  </si>
  <si>
    <t>3x120/70mm² N2XH</t>
  </si>
  <si>
    <t>3x70/35mm² N2XH</t>
  </si>
  <si>
    <t>3x50/25mm² N2XH</t>
  </si>
  <si>
    <t>3x120/70mm² N2XH Fe180</t>
  </si>
  <si>
    <t>3x150/70mm² N2XH</t>
  </si>
  <si>
    <t>5x4mm² NYY</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</si>
  <si>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</si>
  <si>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</si>
  <si>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</si>
  <si>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</si>
  <si>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</si>
  <si>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</si>
  <si>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</si>
  <si>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</si>
  <si>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</si>
  <si>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</si>
  <si>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</si>
  <si>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</si>
  <si>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</si>
  <si>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</si>
  <si>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</si>
  <si>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</si>
  <si>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</si>
  <si>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</si>
  <si>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</si>
  <si>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</si>
  <si>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</si>
  <si>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</si>
  <si>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</si>
  <si>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</si>
  <si>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</si>
  <si>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</si>
  <si>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</si>
  <si>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</si>
  <si>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</si>
  <si>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</si>
  <si>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</si>
  <si>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</si>
  <si>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</si>
  <si>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</si>
  <si>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</si>
  <si>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</si>
  <si>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</si>
  <si>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</si>
  <si>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</si>
  <si>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4 loop Yangın İhbar Santrali (yardımcı güç kaynağı ve aküler Dahil)</t>
  </si>
  <si>
    <t>Tam Fonksiyonlu Tekrarlama Paneli Tekrarlama Paneli(Aküler dahil)</t>
  </si>
  <si>
    <t>Konvansiyonel Gaz Dedektörü Exproof</t>
  </si>
  <si>
    <t>Konvansiyonel Reflektörlü BEAM Dedektör, 100Mt, EN-54 Alıcı+Verici</t>
  </si>
  <si>
    <t>Adreslenebilir Yangın İhbar Butonu, Dahili Kısa Devre İzolatörü</t>
  </si>
  <si>
    <t>Konvansiyonel Yangın İhbar Butonu (Bagimsiz Bolumler icin)</t>
  </si>
  <si>
    <t>Polikarbonat Koruyucu Buton Kapağı</t>
  </si>
  <si>
    <t>Yangın İhbar Butonu için Yedek Cam</t>
  </si>
  <si>
    <t>Adreslenebilir 1 Giriş İzleme Modülü, Dahili Kısa Devre İzolatörü</t>
  </si>
  <si>
    <t>Adreslenebilir 1 Çıkışlı Röle Modülü, Dahili Kısa Devre İzolatörü</t>
  </si>
  <si>
    <t xml:space="preserve">Adreslenebilir 1 Giriş 1 Cikis Zon Denetim Modülü, Dahili Kısa Devre İzolatörü (Bagimsiz Bolumler icin
 verilecektir. 1 Giris bagimsiz bolumlerde izlenmesi gereken yangin ihbar ekipmanlari icin, 1 Cikis bagimsiz bolumlerde yangin aninda durmasi gereken (Lokal muzik sistemi gibi) ekipmanlar icin. </t>
  </si>
  <si>
    <t>Konvansiyonel Flaşörlü Siren, 110dB, 68mA 24VDC</t>
  </si>
  <si>
    <t>24V-4,5A Güç Kaynağı - EN54-4</t>
  </si>
  <si>
    <t>32U 19" (800x800)mm Dikili Tip Kabin</t>
  </si>
  <si>
    <t>Müzik Kaynağı-Bluetooth DVD USB</t>
  </si>
  <si>
    <t>6 Zon (Loop) Acil Anons Sistem Merkez Ünitesi, EN 54‑16 Sertifikalı (Yangin zon girisleri icin gerekli ekipmanlar dahil edilmelidir)</t>
  </si>
  <si>
    <t>4x250W Güç amplifikatörü, EN 54‑16 Sertifikalı (Ortak Alanlar icin)</t>
  </si>
  <si>
    <t>12 Zon (Loop) Acil Anons Sistem Merkez Ünitesi, EN 54‑16 Sertifikalı (Yangin zon girisleri icin gerekli ekipmanlar dahil edilmelidir)</t>
  </si>
  <si>
    <t>4x500W Güç amplifikatörü, EN 54‑16 Sertifikalı Bagimsiz Bolumler icin)</t>
  </si>
  <si>
    <t>Anons Mikrofonu, EN 54‑16 Sertifikalı (Toplam 18 Zon Karsilayacak Sekilde)</t>
  </si>
  <si>
    <t>12V 100Ah Bakım Gerektirmeyen Tip, Tam Kapalı Akümülatör (Tum Sistem icin)</t>
  </si>
  <si>
    <t>Acil Durum Güç Kaynağı PSU ve yönetim ünitesi (Tum sistem icin)</t>
  </si>
  <si>
    <t>IR 4MP sabit Bullet Kamera (30mt görme mesafeli) IP65
1/3” Progressive Scan CMOS, 1920x1080 (4MP@20fps),ram rom değerleri 128/128 , 2.7~13.5mm Motorize Auto Focus Lens, 60mt 
IR, 3D DNR, 120dB-WDR, BLC,HLC, ROI, Micro SD/SDHC 128GB kart girişi,Ses girişi/çıkışı,Alarm giriş/çıkışı , ONVIF, , H.265/H.2640/H.264B;MJPEG sıkıştırma formatları
IP67,IK10 12V DC ve PoE Desteği</t>
  </si>
  <si>
    <t>32 Kanal NVR Kayıt  Cihazı
İzleme/Kayıt Bant Genişliği: 384Mbps/384Mbps
12 MP'ye kadar çözünürlük
Hot-Swap ,  Kameraları(Bölümleme), 2 HDMI, 1 VGA, 4 USB, RS232(PC ve Klavye), RS485(PTZ), Alarm Giriş/Çıkış:
16/8, 2 RJ45 port(10/100/1000Mbps)</t>
  </si>
  <si>
    <t>64  Kanal NVR Kayıt  Cihazı
İzleme/Kayıt Bant Genişliği: 384Mbps/384Mbps
12 MP'ye kadar çözünürlük,
Hot-Swap , Çift Yönlü Konuşma, P2P, IVS, Fisheye Kameraları(Bölümleme), 2 HDMI, 2 VGA, 4 USB, RS232(PC ve Klavye), RS485(PTZ), Alarm Giriş/Çıkış:
16/8, 2 RJ45 port(10/100/1000Mbps)</t>
  </si>
  <si>
    <t>Universal Quatro Düşük Gürültülü Konvertör (Merkezi Sistem LNB)</t>
  </si>
  <si>
    <t>ONE TOUCH LNB DİJİTURK</t>
  </si>
  <si>
    <t>Optik Transmitter, 4 Polarite (Quad C-band LNB desteği) - 4 mW 32’e kadar bölünebilir.</t>
  </si>
  <si>
    <t>1 Giriş 8 Çıkış Optic Splitter SC/APC</t>
  </si>
  <si>
    <t>FİBER SONLANDIRMA SETİ (Pigtale, patchcord, organizer, ek mufu dahil)</t>
  </si>
  <si>
    <t>FİBER SONLANDIRMA SETİ (Pigtale, patchcord, organizer, ek mufu dahil) 4 CORE</t>
  </si>
  <si>
    <t>Optik Receiver, 4 Polarite (Quad C-band LNB desteği)</t>
  </si>
  <si>
    <t>RF+IF Tek Kor Optik Receiver 35 dB, 47-890 MHZ. 950-2150 Mhz</t>
  </si>
  <si>
    <t>9 Polarite ve Terrestrial Giriş/40 Çıkış Sonlu Multiswitch -12V</t>
  </si>
  <si>
    <t>9 Polarite ve Terrestrial Giriş, 8 Çıkış Sonlu Multiswitch -12V</t>
  </si>
  <si>
    <t>Hızlı F Konnektör</t>
  </si>
  <si>
    <t>RG 6 Sıkıştırmalı F Konnektör</t>
  </si>
  <si>
    <t>Bagimsiz Bolumlerin Ic Kismi Haric Ekipman Montajlari, Test ve Devreye Alma Hizmetleri</t>
  </si>
  <si>
    <t>10mw ,1310 nm, RF+IF Çift Giriş 35dB kazanç 47-2150 MHZ. Optic Transmitter SC/APC Çıkış
 RF Sinyalde Maksimum 8 e Bölünebilir</t>
  </si>
  <si>
    <t>8U 19" (600x600)mm  Harici Outdoor Kabinet</t>
  </si>
  <si>
    <t>2li Termostatlı Fan</t>
  </si>
  <si>
    <t>4 core SM fiber kablo</t>
  </si>
  <si>
    <t>12U 600*800 Rack Kabinet Duvar Tipi</t>
  </si>
  <si>
    <t>42U 19" (600x800)mm Dikili Tip Kabin</t>
  </si>
  <si>
    <t>12U 600*800 Rack Kabinet Duvar Tipi Outdoor</t>
  </si>
  <si>
    <t>24 Fiberli 12 Port SM Dublex Fiber Patch Patch Panel</t>
  </si>
  <si>
    <t>SM Dublex Adaptor</t>
  </si>
  <si>
    <t>Protector</t>
  </si>
  <si>
    <t>24 SFP OMURGA SWITCH</t>
  </si>
  <si>
    <t>Fiber Sonlandırma</t>
  </si>
  <si>
    <t xml:space="preserve">Bakır Sonlandırma </t>
  </si>
  <si>
    <t>Kollu bariyer, 1 adet 6 metre bariyer kolu, 1 adet flaşör, 1 adet çatal ayak, 1 adet sticker
2 adet fotosel, 2 adet kumanda,Harici</t>
  </si>
  <si>
    <t>Kamera Dahil Plaka Tanıma Lisansı 4 MP H265 True
Day/Night PoE Back Focus IP Kamera • 2.7-12mm Motorize Auto
İris Lens,• IP67 60m IR Bullet</t>
  </si>
  <si>
    <t xml:space="preserve">Network Uyumlu Bariyer Tetik Cihazi 2 Role Cikisli </t>
  </si>
  <si>
    <t>Bariyer Manuel Acma Butonu Tek Kontak</t>
  </si>
  <si>
    <t>12V3A Guc Kaynagi(Okuyucu Icin)</t>
  </si>
  <si>
    <t>Basic Paket Gecis Kontrol Yazilimi</t>
  </si>
  <si>
    <t>Test, Devreye Alma ve Mühendislik Hizmetleri-Access bariyer ve turnike</t>
  </si>
  <si>
    <t xml:space="preserve">Test, Devreye Alma ve Mühendislik Hizmetleri-Plaka Tanıma </t>
  </si>
  <si>
    <t>2.6.13</t>
  </si>
  <si>
    <t>Cift Ayak 3 Kollu Tripod Bel Boy Turnike, 304 Kalite Paslanmaz Celik, Aluminyum Kollar, 45cm Kol Uzunlugu</t>
  </si>
  <si>
    <t>2.5.9</t>
  </si>
  <si>
    <t>2.5.16</t>
  </si>
  <si>
    <t>2.3.36</t>
  </si>
  <si>
    <t>2.1.31</t>
  </si>
  <si>
    <t>2.1.32</t>
  </si>
  <si>
    <t>2.1.33</t>
  </si>
  <si>
    <t>Tedariki, kurulumu ve UPS "UPS" bağlantı vb invertör şarj pilleri, statik BYPASS, yerleşik komple sistem,yedekleme süresi 10 dk.'dır.</t>
  </si>
  <si>
    <t>TV tesisatı malzemelerinin teknik şartnameye uygun olarak projede gösterilen yere montajı , montaj için gerekli her nevi ufak malzeme ve işçilik dahil kablo bağlantılantılarının panellerde,  kablo uç noktalarında ve belirli aralıklarla kablo etiketlemelerinin yapılıp montaj için gerekli tüm aksesuarları, bağlantıları ve  testleri yapılmış sistemin çalışır halde teslimi. Tüm TV Prizleri sinyal testi ile test edilip rapor teslim edilecektir.</t>
  </si>
  <si>
    <t>RG-6 U6 HF Cu/Cu TRISHIELD</t>
  </si>
  <si>
    <t>RG-11 U6 HF Cu/Cu TRISHIELD</t>
  </si>
  <si>
    <t>TV SİSTEMİ TOPLAMI-TL</t>
  </si>
  <si>
    <t>Tekerlek Modülü 4'lü</t>
  </si>
  <si>
    <t>3 Kademe Karbonmonoksit Dedektoru+Tabanı</t>
  </si>
  <si>
    <t>24V-4,5/5A Güç Kaynağı - EN54-4</t>
  </si>
  <si>
    <t>Adreslenebilir Siren Kontrol Modülü, 24V besleme Gereksinimi, Dahili Kısa Devre İzolatörü</t>
  </si>
  <si>
    <t>40x60x25cm Taban Saclı Polyster Pano-Ray klemensler otomat rayı ve klemensler dahil)</t>
  </si>
  <si>
    <t>Yangın ihbar ve alarm tesisatı malzemelerinin teknik şartnameye uygun olarak projede gösterilen yere montajı , montaj için gerekli her nevi ufak malzeme ve işçilik dahil kablo bağlantılarının panellerde,  kablo uç noktalarında ve belirli aralıklarla kablo etiketlemelerinin yapılıp çalışır halde teslimi.  Tüm Dedektörler İzolatörlü öngörülecektir.</t>
  </si>
  <si>
    <t>Adresli Optik Duman Dedektörü (izolatörlü)+Tabanı</t>
  </si>
  <si>
    <t>Konvansiyonel Optik Duman Dedektörü (izolatörlü)+Tabanı</t>
  </si>
  <si>
    <t>Adreslenebilir Kombine Optik Duman ve Sıcaklık Dedektörü, Dahili Kısa Devre İzolatörü+Tabanı</t>
  </si>
  <si>
    <t>Adreslenebilir Sabit Sıcaklık ve Sıcaklık Artış Hızı Dedektörü, Dahili Kısa Devre İzolatörü+Tabanı</t>
  </si>
  <si>
    <t>Elektronik Adresli Kanal Tipi Optik Duman Dedektörü,Entegre Çift Yönlü İzolatör ile Birlikte+prob+Tabanı</t>
  </si>
  <si>
    <t>4 Zone Karbonmonoksit Paneli (Aküler dahil)</t>
  </si>
  <si>
    <t>3x1,5mm² N2XH FE-180/PH90</t>
  </si>
  <si>
    <t>3x1,5mm² LIHCH FE180/PH90</t>
  </si>
  <si>
    <t>2x1.5mm² LIHCH FE-180 PH 90</t>
  </si>
  <si>
    <t xml:space="preserve">Level4 Δt  = 140 µsn Koruma Çapı 214mt Paslanmaz Çelik Aktif Paratoner </t>
  </si>
  <si>
    <t>2'' Galvaniz Çelik Paratoner Direği 6mt</t>
  </si>
  <si>
    <t xml:space="preserve">2'' Direk Tabanı Galvaniz Çelik </t>
  </si>
  <si>
    <t>Test Klemensi Bakır 2x50mm2</t>
  </si>
  <si>
    <t>2x50mm² Trifonlu İniş kroşesi</t>
  </si>
  <si>
    <t>50mm² Som Mono Bakır</t>
  </si>
  <si>
    <t>Muhafaza Borusu Kelepçeler dahil</t>
  </si>
  <si>
    <t>Zemin/Duvar Tespit Kroşesi 2x50mm2</t>
  </si>
  <si>
    <t>Topraklama ve Paratoner Topraklama EMO Ölçüm Raporu(5 nokta)</t>
  </si>
  <si>
    <t>Topraklama Çubuğu L:150cm som bakır topraklama çubuğu 20mm,tüm bağlantı elemanları dahil</t>
  </si>
  <si>
    <t>ø20 elektrolitik bakır çubuğu 1,5mt,,tüm bağlantı elemanları dahil</t>
  </si>
  <si>
    <t>1.8.11</t>
  </si>
  <si>
    <t>1.8.12</t>
  </si>
  <si>
    <t>1.8.13</t>
  </si>
  <si>
    <t>1.8.14</t>
  </si>
  <si>
    <t>1.8.15</t>
  </si>
  <si>
    <t>1.8.16</t>
  </si>
  <si>
    <t>1.8.17</t>
  </si>
  <si>
    <t>AYDINLATMA ARMATÜRLERİ ALT TOPLAM</t>
  </si>
  <si>
    <t>UPS CİHAZI ALT TOPLAM</t>
  </si>
  <si>
    <t>Sistem Merkezi Devreye Alma, Mühendislik ve Süpervizyon Hizmetleri Fiber Ekler, 
Sonlandırmalar, kabinet dizilimi ve kurulumu, patch atlamaları, uç çakımları,jacklar dahil) etiketleme ve testler dahil</t>
  </si>
  <si>
    <t>TELEFON VE DATA SİSTEMİ  ALT TOPLAM</t>
  </si>
  <si>
    <t>YANGIN İHBAR SİSTEMİ ALT TOPLAM</t>
  </si>
  <si>
    <t>SESLENDİRME VE ACİL ANONS SİSTEMİ ALT TOPLAM</t>
  </si>
  <si>
    <t>IP CCTV SİSTEMİ ALT TOPLAM</t>
  </si>
  <si>
    <t>ARAÇ BARİYER VE PLAKA TANIMA SİSTEMİ ALT TOPLAM</t>
  </si>
  <si>
    <t>MEKANİK OTOMASYON KABLOLAMA  ALT TOPLAM</t>
  </si>
  <si>
    <t>2.7.4</t>
  </si>
  <si>
    <t>200mm Kablo Kanalı (h:40mm d:1.5mm) Sıcak Daldırma Galvaniz Ağır Hizmet Tipi</t>
  </si>
  <si>
    <t>500mm Kablo Kanalı (h:60mm d:2mm) Sıcak Daldırma Galvaniz Ağır Hizmet Tipi</t>
  </si>
  <si>
    <t>600mm Kablo Kanalı (h:60mm d:2mm)Sıcak Daldırma Galvaniz Ağır Hizmet Tipi</t>
  </si>
  <si>
    <t>600mm Kablo Kanalı (h:60mm d:2mm)Sıcak Daldırma Galvaniz
DOSEME ALTI Ağır Hizmet Tipi</t>
  </si>
  <si>
    <t>300mm Kablo Kanalı (h:40mm d:2mm)Sıcak Daldırma Galvaniz
DOSEME ALTI Ağır Hizmet Tipi</t>
  </si>
  <si>
    <t>100x40x2mm Kablo Merdiveni Sıcak Daldırma Galvaniz Ağır Hizmet Tipi</t>
  </si>
  <si>
    <t>200x40x2mm Kablo Merdiveni Sıcak Daldırma Galvaniz Ağır Hizmet Tipi</t>
  </si>
  <si>
    <t>300x60x2mm Kablo Merdiveni Sıcak Daldırma Galvaniz Ağır Hizmet Tipi</t>
  </si>
  <si>
    <t>400x60x2mm Kablo Merdiveni  Sıcak Daldırma Galvaniz Ağır Hizmet Tipi</t>
  </si>
  <si>
    <t>500x60x2mm Kablo Merdiveni  Sıcak Daldırma Galvaniz Ağır Hizmet Tipi</t>
  </si>
  <si>
    <t>600x60x2mm Kablo Merdiveni Sıcak Daldırma Galvaniz Ağır Hizmet Tipi</t>
  </si>
  <si>
    <t>600mm Kablo Kanalı (h:60mm d:2mm)Sıcak Daldırma Galvaniz Deliksiz kapaklı Ağır Hizmet Tipi</t>
  </si>
  <si>
    <t>45x45mm Modüler Topraklı Priz</t>
  </si>
  <si>
    <t>45x45mm Modüler UPS  Priz</t>
  </si>
  <si>
    <t>22,5x22,5mm RJ45 1M Data Prizi</t>
  </si>
  <si>
    <t>22,5x22,5mm RJ45 1M HDMI Prizi</t>
  </si>
  <si>
    <t>12 Modül Alüminyum Fırçalı Masa Tipi Modüler Priz Grubu</t>
  </si>
  <si>
    <t>16 Modül Alüminyum Fırçalı Masa Tipi Modüler Priz Grubu</t>
  </si>
  <si>
    <t>ANAHTAR VE PRİZLER ALT TOPLAM</t>
  </si>
  <si>
    <t>IS 2360-3 SIVA ÜSTÜ 360° Ø24m SENSÖR-057770</t>
  </si>
  <si>
    <t>IS 3360 COM1 SIVA ÜSTÜ 360° Ø40M SEN-010478</t>
  </si>
  <si>
    <t>IS 2360 SIVA ÜSTÜ 360° Ø7m SENSÖR-006556</t>
  </si>
  <si>
    <t>Termostat Sortisi (4x1,5mm2 LIHCH)</t>
  </si>
  <si>
    <t>100mm Ağır Hizmet Tipi Koruge Boru+Manşonlar dahil</t>
  </si>
  <si>
    <t>70mm Ağır Hizmet Tipi Koruge Boru+Manşonlar dahil</t>
  </si>
  <si>
    <t>Parelel Sorti -3x2,5mm² NHXMH-Hareket Sensöründen Hareket Sensörüne Besleme Sortisi</t>
  </si>
  <si>
    <t>Anahtarsız Sorti -3x2,5mm² NHXMH-Hareket Sensörü Besleme Sortisi</t>
  </si>
  <si>
    <t>Parelel Sorti -3x1,5mm² NHXMH-Hareket Sensöründen Armatüre,Armatürden Armatür Paralel Besleme Sortisi</t>
  </si>
  <si>
    <t>Kitli Aydınlatma Sortisi -4x1,5mm² NHXMH-Hareket Sensöründen Acil Aydınlatma Kitli Armatür Besleme Sortisi</t>
  </si>
  <si>
    <t>Anahtarsız Sorti -3x2,5mm² NHXMH-EXIT,Merdiven Kovası</t>
  </si>
  <si>
    <t>1.4.1.6</t>
  </si>
  <si>
    <t>1.4.1.7</t>
  </si>
  <si>
    <t>1.4.1.8</t>
  </si>
  <si>
    <t>1.4.1.9</t>
  </si>
  <si>
    <t>1.4.1.10</t>
  </si>
  <si>
    <t>1.4.1.11</t>
  </si>
  <si>
    <t>1.4.1.12</t>
  </si>
  <si>
    <t>Ara Vavien Sorti</t>
  </si>
  <si>
    <t>1.4.1.13</t>
  </si>
  <si>
    <t>Light Anahtar Sortisi</t>
  </si>
  <si>
    <t>3x150/70mm² N2XH Fe180</t>
  </si>
  <si>
    <t xml:space="preserve">Cat6 UTP HF-Cephe Aydınlatma Driver </t>
  </si>
  <si>
    <t xml:space="preserve">5x2,5mm²  N2XH-Cephe Aydınlatma Driver </t>
  </si>
  <si>
    <t>CEPHE AYDINLATMA KABLOLAR</t>
  </si>
  <si>
    <t>1.2.3.16</t>
  </si>
  <si>
    <t>1.2.3.17</t>
  </si>
  <si>
    <t>1.2.3.18</t>
  </si>
  <si>
    <t>1.2.3.19</t>
  </si>
  <si>
    <t>1.2.3.20</t>
  </si>
  <si>
    <t>1.2.3.21</t>
  </si>
  <si>
    <t>5x16mm² N2XH FE 180</t>
  </si>
  <si>
    <t>4x25mm² N2XH FE 180</t>
  </si>
  <si>
    <t>5x4mm² N2XH FE 180</t>
  </si>
  <si>
    <t>5x2,5mm² N2XH FE 180</t>
  </si>
  <si>
    <t>3x2,5mm² N2XH FE 180</t>
  </si>
  <si>
    <t>5x6mm² N2XH FE 180</t>
  </si>
  <si>
    <t>5x10mm² N2XH FE 180</t>
  </si>
  <si>
    <t>KXA 40504-B-P10-4000 A-BOLT-ON-PANO GİRİŞ-4W(R=RAL7038)</t>
  </si>
  <si>
    <t>2.8</t>
  </si>
  <si>
    <t>2.8.1.1</t>
  </si>
  <si>
    <t>2.8.1.2</t>
  </si>
  <si>
    <t>2.8.1.3</t>
  </si>
  <si>
    <t>2.8.1.4</t>
  </si>
  <si>
    <t>2.8.1.5</t>
  </si>
  <si>
    <t>2.8.1.6</t>
  </si>
  <si>
    <t>2.8.1.7</t>
  </si>
  <si>
    <t>2.8.1.8</t>
  </si>
  <si>
    <t>2.8.1.9</t>
  </si>
  <si>
    <t>2.8.1.10</t>
  </si>
  <si>
    <t>2.8.1.11</t>
  </si>
  <si>
    <t>2.8.1.12</t>
  </si>
  <si>
    <t>2.8.1.13</t>
  </si>
  <si>
    <t>2.8.1.14</t>
  </si>
  <si>
    <t xml:space="preserve">Set </t>
  </si>
  <si>
    <t>Jeneratör Koruma İşletme Topraklama ölçüm+rapor (5 nokta)</t>
  </si>
  <si>
    <t>1kV 2mm AG İzole Halı-1mt genişlik</t>
  </si>
  <si>
    <t>15x24cm Metal ölüm Tehlike Levhası Alüminyum Sarı</t>
  </si>
  <si>
    <t>Mt²</t>
  </si>
  <si>
    <t>2.8.1.15</t>
  </si>
  <si>
    <t>2.8.1.16</t>
  </si>
  <si>
    <t>2.8.1.17</t>
  </si>
  <si>
    <t>2.8.1.18</t>
  </si>
  <si>
    <t>2.8.1.19</t>
  </si>
  <si>
    <t>2.8.1.20</t>
  </si>
  <si>
    <t>2.8.1.21</t>
  </si>
  <si>
    <t>250W LED PROJEKTÖR SMD High Power LED Metal kasa 24000lm  Temperli, Şeffaf Cam Difüzör Elektrostatik Toz Boya Asimetrik  UGR ≤ 22  CRI ≥ 80 IP66 IK09</t>
  </si>
  <si>
    <t>Acil Enerji Kesme Butonu Mantar Kafalı-Montaj Kutusu dahil</t>
  </si>
  <si>
    <t>6kg Yangın Tüpü Kuru Tozlu Tip Yeni Model</t>
  </si>
  <si>
    <t>Sıra Klemens 2,5mm²-4mm²</t>
  </si>
  <si>
    <t>300x220mm Buat(sorti harici) rakorlar dahil</t>
  </si>
  <si>
    <t>250x200mm Buat(sorti harici) rakorlar dahil</t>
  </si>
  <si>
    <t>12x12cm Kare Buat+Klemens rakorlar dahil</t>
  </si>
  <si>
    <t>11x11cm kare buat(sorti harici) rakor dahil</t>
  </si>
  <si>
    <t>11x11cm kare buat(sorti harici)+protelin  rakor dahil</t>
  </si>
  <si>
    <t>100mm Kablo Kanalı (h:40mm d:1.5mm) Sıcak Daldırma Galvaniz Ağır Hizmet Tipi</t>
  </si>
  <si>
    <t>1.4.2.5</t>
  </si>
  <si>
    <t>1.4.2.6</t>
  </si>
  <si>
    <t>1.4.1.14</t>
  </si>
  <si>
    <t>Özel Dekoratif Aplik Armatür</t>
  </si>
  <si>
    <t>Dekoratif Lineer Armatür Montaj İşçiliği</t>
  </si>
  <si>
    <t>Dekoratif Sıva altı Sıva üzeri Spot Montaj İşçiliği</t>
  </si>
  <si>
    <t>Dekoratif Sarkıt Armatür Montaj İşçiliği</t>
  </si>
  <si>
    <t>12 Modül Alüminyum Fırçalı Sıvaaltı masa priz grubu(Boş)</t>
  </si>
  <si>
    <t>Sadece İşçilik-30x3.5 Galveniz Lama -Şeritten şeride ve lamadan demire bağlantı elemanları,duvar tespit elemanları</t>
  </si>
  <si>
    <t>Ring Topraklama İletkeni ∅10mm Galvanizli Çelik Şerit (Her nevi ufak malzeme ve işçilik dahil 
tesis edilmesidir.)Şerite ve monotelden şerite Birleştirme aparatı,bağlantı aparatları dahil)</t>
  </si>
  <si>
    <t>1 Core SM  Fiber Optik Kablo-Telekom Drop Fiber Optik Kablo  Simfleks 
Kabloların tamamı klavuz telli spiral boru içerisinden geçirilecektir.
Telekom altyapı kabloları çekmezse iç tesisat yüklenici tarafından yapılacaktır.</t>
  </si>
  <si>
    <t>ERSE 2M KABTEK REÇBER</t>
  </si>
  <si>
    <t>STEINEL</t>
  </si>
  <si>
    <t>EAE GERSAN DTX</t>
  </si>
  <si>
    <t>BUSBAR ve ASKI DESTEK SİSTEMİ ALT TOPLAM</t>
  </si>
  <si>
    <t>FİRMA</t>
  </si>
  <si>
    <t>TEKNİKSAT ALCAD WİSİ TRON</t>
  </si>
  <si>
    <t>ERSE 2M REÇBER BİRTAŞ ETK</t>
  </si>
  <si>
    <t>TSE</t>
  </si>
  <si>
    <t>Kamera Montaj Buatı rakor dahil,ral kodlu boyalı</t>
  </si>
  <si>
    <t>LG DELL SAMSUNG</t>
  </si>
  <si>
    <t>SECTEC ÖZAK TANSA</t>
  </si>
  <si>
    <t>TELEKOM ONAY</t>
  </si>
  <si>
    <t>KUVVETLİ AKIM KABLOLARI ALT TOPLAM</t>
  </si>
  <si>
    <t>KABLO TAŞIYICILARI VE BORULAR</t>
  </si>
  <si>
    <t>ANAHTAR VE PRİZLER,SENSÖRLER
Çerçeve,Kaide,Karkas,Mekanizma,Düğmeler Teklife Dahildir.</t>
  </si>
  <si>
    <t>1.5.3</t>
  </si>
  <si>
    <t>1.5.4</t>
  </si>
  <si>
    <t>1.5.5</t>
  </si>
  <si>
    <t>1.5.6</t>
  </si>
  <si>
    <t>1.5.7</t>
  </si>
  <si>
    <t>1.5.8</t>
  </si>
  <si>
    <t>1.5.9</t>
  </si>
  <si>
    <t>1.5.10</t>
  </si>
  <si>
    <t>1.5.11</t>
  </si>
  <si>
    <t>1.5.12</t>
  </si>
  <si>
    <t>1.5.13</t>
  </si>
  <si>
    <t>1.5.14</t>
  </si>
  <si>
    <t>1.5.15</t>
  </si>
  <si>
    <t>1.5.16</t>
  </si>
  <si>
    <t>1.5.17</t>
  </si>
  <si>
    <t>1.5.18</t>
  </si>
  <si>
    <t>1.5.19</t>
  </si>
  <si>
    <t>1.5.20</t>
  </si>
  <si>
    <t>1.5.21</t>
  </si>
  <si>
    <t>1.5.22</t>
  </si>
  <si>
    <t>1.5.23</t>
  </si>
  <si>
    <t>1.5.24</t>
  </si>
  <si>
    <t>KABLO TAŞIYICILARI VE BORULAR ALT TOPLAM</t>
  </si>
  <si>
    <t>AYDINLATMA VE PRİZ SORTİLERİ ALT TOPLAM</t>
  </si>
  <si>
    <t>3x2,5 mm² N2XH</t>
  </si>
  <si>
    <t>3x4 mm² N2XH</t>
  </si>
  <si>
    <t>5x2,5 mm² N2XH</t>
  </si>
  <si>
    <t>4x4 mm² N2XH</t>
  </si>
  <si>
    <t>4x16 mm² N2XH</t>
  </si>
  <si>
    <t>5x4 mm² N2XH</t>
  </si>
  <si>
    <t>5x6 mm² N2XH</t>
  </si>
  <si>
    <t>5x10 mm² N2XH</t>
  </si>
  <si>
    <t>5x16 mm² N2XH</t>
  </si>
  <si>
    <t>3x25/16 mm² N2XH</t>
  </si>
  <si>
    <t>1x185 mm²  N2XH</t>
  </si>
  <si>
    <t xml:space="preserve">1x240 mm² N2XH </t>
  </si>
  <si>
    <t>4x150 mm² N2XH</t>
  </si>
  <si>
    <t>Priz Kombinasyonu (4x25A Hata Akımı Koruma Anahtarlı, 2 adet 1x16A C Tipi Sigortalı,
1 Ad-3x16A Trifaze +2 Ad-16A Monofaze Prizli Grup) IP65</t>
  </si>
  <si>
    <t>Data prizi RJ45</t>
  </si>
  <si>
    <t>Tel prizi RJ45</t>
  </si>
  <si>
    <t>PANASONIC THEA OPTIMA</t>
  </si>
  <si>
    <t xml:space="preserve">VİKO THEA OPTIMA  SCHNEİDER LEGRAND </t>
  </si>
  <si>
    <t>50x100mm DLP Kanal ,Bağlantı elemanları,Dönüşler ve kapak dahil</t>
  </si>
  <si>
    <t>24'lü sıva üzeri sigorta kutusu</t>
  </si>
  <si>
    <t>2.8.1.22</t>
  </si>
  <si>
    <t>1x6mm² PLASTİK İZOLELİ İLETKEN (HO7Z,O7Z1) SARI YEŞİL</t>
  </si>
  <si>
    <t>1x10mm² PLASTİK İZOLELİ İLETKEN (HO7Z,O7Z1) SARI YEŞİL</t>
  </si>
  <si>
    <t>1x16mm² PLASTİK İZOLELİ İLETKEN (HO7Z,O7Z1) SARI YEŞİL</t>
  </si>
  <si>
    <t>1x25mm² PLASTİK İZOLELİ İLETKEN (HO7Z,O7Z1) SARI YEŞİL</t>
  </si>
  <si>
    <t>1x35mm² PLASTİK İZOLELİ İLETKEN (HO7Z,O7Z1) SARI YEŞİL</t>
  </si>
  <si>
    <t>1x50mm² PLASTİK İZOLELİ İLETKEN (HO7Z,O7Z1) SARI YEŞİL</t>
  </si>
  <si>
    <t>1x70mm² PLASTİK İZOLELİ İLETKEN (HO7Z,O7Z1) SARI YEŞİL</t>
  </si>
  <si>
    <t>1x150mm² PLASTİK İZOLELİ İLETKEN (HO7Z,O7Z1) SARI YEŞİL</t>
  </si>
  <si>
    <t>1x185mm² PLASTİK İZOLELİ İLETKEN (HO7Z,O7Z1) SARI YEŞİL</t>
  </si>
  <si>
    <t>1x240mm² PLASTİK İZOLELİ İLETKEN (HO7Z,O7Z1) SARI YEŞİL</t>
  </si>
  <si>
    <t>30x3.5 Galvaniz Lama -Şeritten şeride ve lamadan demire bağlantı elemanları,duvar tespit elemanları dahil</t>
  </si>
  <si>
    <t>Paralel Sorti -4x1,5mm² NHXMH(EXIT Merdiven Kitli Armatür Atlama,EXIT EXIT atlama besleme sortiis-4x1,5mm² NHXMH</t>
  </si>
  <si>
    <t>TOPRAKLAMA-YILDIRIMDAN KORUMA  TESİSATI TOPLAM</t>
  </si>
  <si>
    <t>h:195mm a:97mm e:2mm kare buat montaj plakası sac delikli</t>
  </si>
  <si>
    <t xml:space="preserve">ÇETİNKAYA ZEYBEK YAVUZ </t>
  </si>
  <si>
    <t xml:space="preserve">MUTLUSAN ÇETSAN </t>
  </si>
  <si>
    <t>BERKA GWEST MUTLUSAN</t>
  </si>
  <si>
    <t>ZEYBEK ÇETSAN</t>
  </si>
  <si>
    <t>NEAD AVF</t>
  </si>
  <si>
    <t xml:space="preserve">MUTLUSAN  LEGRAND </t>
  </si>
  <si>
    <t>EAE GERSAN STS ARDIÇ KIRAÇ</t>
  </si>
  <si>
    <t>ENERJİ KABLOLARI
Tüm kablo uç baplantıları DIN norm kablo pabuçları,bimetal skp pabuçları kablo birim fiyatları dahilindedir.</t>
  </si>
  <si>
    <t>AYDINLATMA SORTi</t>
  </si>
  <si>
    <t xml:space="preserve">6lı Sigortalı Priz Grubu </t>
  </si>
  <si>
    <t>Güvenlik Hatlı Şebeke Priz Sortisi-Ortak Alan-3x2,5mm² NHXMH</t>
  </si>
  <si>
    <t>Güvenlik Hatlı Etanj Şebeke Priz Sortisi-Ortak Alan-3x2,5mm² NHXMH+20mm HF Alev Yürütmeyen PVC Boru ve aksesuarları Dahil</t>
  </si>
  <si>
    <t>Güvenlik Hatlı Etanj Şebeke Priz Sortisi-Dükkan İçi Motorlu Kapı Priz-3x2,5mm² NHXMH+20mm HF Alev Yürütmeyen PVC Boru ve aksesuarları Dahil</t>
  </si>
  <si>
    <t>Güvenlik Hatlı UPS Priz Sortisi-3x2,5mm² NHXMH</t>
  </si>
  <si>
    <t>5W 330lm 	Li-Ion 3.7V 2000mA Tavan Tipi LED EXIT ARMATÜRÜ Saç konstüksiyon üzeri opal plexiglas ,325x195x55mm Pleksiglas,Elektrostatik Toz Boyalı,Sürekli Yanan 3h kitli,ihtiyaca göre zincir,sıvaaltı aparat vs montaj aparatları dahil</t>
  </si>
  <si>
    <t>AYDINLATMA SORTİLERİ  (Linye ve sortinin maksimum ölçüsü yoktur.)NHXMH nevinden malzeme ile.
Linye hatları en az 2,5mm2, sorti hatları 1,5mm2 kesitli kablolar ile her türlü aydınlatma sortisi yapılması, sıva üstü tesisatta tamamen etanj malzeme kullanılması, icap eden yerlerde muhafaza borusu, kroşe, iletkenler, buat, PVC, çelik spiral boru veya çelik boru, asma tavan bulunan mahallerde alevi iletmeyen PVC spiral boru kullanılması,klemens her nevi tesbit malzemesi dahil, panellerde, kablo uç noktalarında ve belirli aralıklarla kablo taşıyıcı üzerinde kablolarının etiketlenmesi ve işçilik dahil işler halde teslimi.SORTİ İMALATLARINDA KULLANILAN KARE,YUVARLAK BUATLAR,KLEMENSLER SORTİ BİRİM FİYATLARINA DAHİLDİR.Buatların üzerinde linye numaraları waterproof etiketlerle dijital yazı ile numaralandırılacaktır.</t>
  </si>
  <si>
    <t>1.6.11</t>
  </si>
  <si>
    <t>1.6.11.1</t>
  </si>
  <si>
    <t>1.6.11.2</t>
  </si>
  <si>
    <t>1.6.11.3</t>
  </si>
  <si>
    <t xml:space="preserve">LEGRAND ABB SIEMENS SCHNEIDER </t>
  </si>
  <si>
    <t xml:space="preserve">Led Şerit 3 çipli mt/14,4W  60led/mt;5050 Double Pcb  3 Dirençli </t>
  </si>
  <si>
    <t>LİNEER PROFİL ÇUBUK LED ARMATÜR 24V DC 3 Çipli mt/14,4W 60led/mt</t>
  </si>
  <si>
    <t>25x40mm DLP Plastik Kanal,Bağlantı elemanları,Dönüşler ve kapak dahil</t>
  </si>
  <si>
    <t>Cat6 U/UTP kablo 23Awg</t>
  </si>
  <si>
    <t>Cat6 U/UTP HF 23 Awg</t>
  </si>
  <si>
    <t>43" Led Monitör +HDMI+Duvar Montaj Aparatı</t>
  </si>
  <si>
    <t>22" Led Monitör +HDMI+Duvar Montaj Aparatı</t>
  </si>
  <si>
    <t>i7 CPU  2 DVI outputs Sistem Bilgisayarı RTX Ekran kartı i7 16GB Ram WIN 7/WIN 10 PRO 64 BIT, 256GB SSD Disk,
(klavye-mouse dahil)</t>
  </si>
  <si>
    <t>I7 10 ve Ustu Islemci, 16Gb Ram,  512Gb Disk  23.8'' Monitör W11 HOME
(klavye-mause dahil)</t>
  </si>
  <si>
    <t>140cm Plaka Tanima Kamera Diregi Boyalı</t>
  </si>
  <si>
    <t>Mifare 13,56MHz Bağımsız TCIP Kart Okuyucu, 30.000 kart ve 60.000 Log desteği, Temassız şekilde IC kart (Mifare kart) tanıma desteği, Kart, şifre ve kombinasyon desteği</t>
  </si>
  <si>
    <t>Mifare Kart</t>
  </si>
  <si>
    <t>2.6.14</t>
  </si>
  <si>
    <t>2.6.15</t>
  </si>
  <si>
    <t>2.6.16</t>
  </si>
  <si>
    <t>2.6.17</t>
  </si>
  <si>
    <t>48-port gigabit +4x1GB SFP UPLINK  370W POE Yönetilebilir Rackmount</t>
  </si>
  <si>
    <t>Pano, taban saclı sac pano  (60x120x25cm)+1 adet termostat 2 adet fan dahil+6'lı Grup Priz,
1 adet 1x16A C Tipi Sigorta,ray Dahil</t>
  </si>
  <si>
    <t>120cm Offset Saç Çanak Anten Seti,Ayaklar dahil</t>
  </si>
  <si>
    <t>TELEFON VE DATA SİSTEMİ 
Tüm uç çakımları rj45 jacklar birim fiyatlara dahildir.</t>
  </si>
  <si>
    <t>Cat.6 U/UTP Cable LSZH  - 305m Reel in Box, White 23 AWG</t>
  </si>
  <si>
    <t>Sistem kurulum, test, devreye alma ve Hizmetleri</t>
  </si>
  <si>
    <t>Ø 20 HF Düz Boru Orta Hizmet (Kroşe,Dirsek,Muf,dübel vs.dahil)Alev Yürütmeyen</t>
  </si>
  <si>
    <t>Ø 32 HF Düz Boru Orta Hizmet (Kroşe,Dirsek,Muf,dübel vs.dahil) Alev Yürütmeyen</t>
  </si>
  <si>
    <t>Ø 20 HF Kangal Boru Orta Hizmet Alev Yürütmeyen</t>
  </si>
  <si>
    <t>Ø 32 HF Kangal PE Boru Ağır Hizmet Alev Yürütmeyen</t>
  </si>
  <si>
    <t>Ø 20 HF Çelik Spiral Boru Orta Hizmet Alev Yürütmeyen</t>
  </si>
  <si>
    <t>Ø 20 HF Spiral Boru Orta Hizmet Alev Yürütmeyen</t>
  </si>
  <si>
    <t>BORULAR-HF ve Alev İletmeyen Olacaktır</t>
  </si>
  <si>
    <t>30x30cm Beton Rogar+Test Klemensi</t>
  </si>
  <si>
    <t xml:space="preserve">400x300cm motorlu perde </t>
  </si>
  <si>
    <t>Projeksiyon Cihazı,tavan aparat,3600 ansilümen</t>
  </si>
  <si>
    <t>30cm boyunda 4mm² H07Z-1 R Sarı Yeşil İki ucu pabuçlu ve kablo kanalları dönüş elemanlarında jumper olarak kullanılacaktır.</t>
  </si>
  <si>
    <t>6W/10W sıvaüstü metal hoparlör EN54-24 Sertifikalı ral boyalı  230 x 164 x 140mm</t>
  </si>
  <si>
    <t>3W/6W Kolon TipiYarım Küre Hoparlör ral boyalı  299 x 197 x 83mm</t>
  </si>
  <si>
    <t>3W/6W Sıva Altı Tavan Tipi Hoparlör ral boyalı Delik Çapı 175 mm Dış Çap 200mm - 7.8 inç Derinlik 65 mm - 3.7 inç</t>
  </si>
  <si>
    <t>TNA EEC SCHRACK EATON ESSED ESSER BY HONEYWELL</t>
  </si>
  <si>
    <t>400mm Kablo Kanalı (h:60mm d:2mm) Sıcak Daldırma Galvaniz Ağır Hizmet Tipi</t>
  </si>
  <si>
    <t>300mm Kablo Kanalı (h:60mm d:2mm) Sıcak Daldırma Galvaniz Ağır Hizmet Tipi</t>
  </si>
  <si>
    <t>L Tipi 10x10cm Dönüş Elemanı-Sıcak Daldırma Galvaniz e:1,5mm</t>
  </si>
  <si>
    <t>Dış Bükey 300mm e:2mm-Sıcak Daldırma Galvaniz</t>
  </si>
  <si>
    <t>40x10x40cm T Tipi Dönüş Elemanı-Sıcak Daldırma Galvaniz e:1,5mm</t>
  </si>
  <si>
    <t>10x40x40cm T Tipi Dönüş Elemanı-Sıcak Daldırma Galvaniz e:1,5mm</t>
  </si>
  <si>
    <t>20x10x20cm T Tipi Dönüş Elemanı-Sıcak Daldırma Galvaniz e:1,5mm</t>
  </si>
  <si>
    <t>10x20x10cm T Tipi Dönüş Elemanı-Sıcak Daldırma Galvaniz e:1,5mm</t>
  </si>
  <si>
    <t>10x10x20cm T Tipi Dönüş Elemanı-Sıcak Daldırma Galvaniz e:1,5mm</t>
  </si>
  <si>
    <t>10x20x10x20cm Dörtlü Dönüş Elemanı-Sıcak Daldırma Galvaniz e:1,5mm</t>
  </si>
  <si>
    <t>30x10x30cm T Tipi Dönüş Elemanı-Sıcak Daldırma Galvaniz e:1,5mm</t>
  </si>
  <si>
    <t>20x40x20cm T Tipi Dönüş Elemanı-Sıcak Daldırma Galvaniz e:1,5mm</t>
  </si>
  <si>
    <t>40x20x40cm T Tipi Dönüş Elemanı-Sıcak Daldırma Galvaniz e:1,5mm</t>
  </si>
  <si>
    <t>40x60x40cm T Tipi Dönüş Elemanı-Sıcak Daldırma Galvaniz e:2mm</t>
  </si>
  <si>
    <t>30x50x30cm T Tipi Dönüş Elemanı-Sıcak Daldırma Galvaniz e:2mm</t>
  </si>
  <si>
    <t>30x20x30cm T Tipi Dönüş Elemanı-Sıcak Daldırma Galvaniz e:1,5mm</t>
  </si>
  <si>
    <t>30x30cm L Tipi Dönüş Elemanı-Sıcak Daldırma Galvaniz e:1,5mm</t>
  </si>
  <si>
    <t>40x40cm L Tipi Dönüş Elemanı-Sıcak Daldırma Galvaniz e:1,5mm</t>
  </si>
  <si>
    <t>40x20cm L Tipi Dönüş Elemanı-Sıcak Daldırma Galvaniz e:2mm</t>
  </si>
  <si>
    <t>20x30x20cm T Tipi Dönüş Elemanı-Sıcak Daldırma Galvaniz e:1,5mm</t>
  </si>
  <si>
    <t>40x40x40x40cm Dörtlü Dönüş Elemanı-Sıcak Daldırma Galvaniz e:2mm</t>
  </si>
  <si>
    <t>50x50x50x50cm Dörtlü Dönüş Elemanı-Sıcak Daldırma Galvaniz e:2mm</t>
  </si>
  <si>
    <t>60x40x60x40cm Dörtlü Dönüş Elemanı-Sıcak Daldırma Galvaniz e:2mm</t>
  </si>
  <si>
    <t>40x20x40x20cm Dörtlü Dönüş Elemanı-Sıcak Daldırma Galvaniz e:2mm</t>
  </si>
  <si>
    <t>60x20x60cm T Tipi Dönüş Elemanı-Sıcak Daldırma Galvaniz e:1,5mm</t>
  </si>
  <si>
    <t>50x50cm L Tipi Dönüş Elemanı-Sıcak Daldırma Galvaniz e:1,5mm</t>
  </si>
  <si>
    <t>40x50x40cm T Tipi Dönüş Elemanı-Sıcak Daldırma Galvaniz e:2mm</t>
  </si>
  <si>
    <t>50x50x50cm T Tipi Dönüş Elemanı-Sıcak Daldırma Galvaniz e:2mm</t>
  </si>
  <si>
    <t>60x60cm L Tipi Dönüş Elemanı-Sıcak Daldırma Galvaniz e:2mm</t>
  </si>
  <si>
    <t>40x40x40cm T Tipi Dönüş Elemanı-Sıcak Daldırma Galvaniz e:2mm</t>
  </si>
  <si>
    <t>10x10x10cm T Tipi Dönüş Elemanı-Sıcak Daldırma Galvaniz e:1,5mm</t>
  </si>
  <si>
    <t>20x20cm L Tipi Dönüş Elemanı-Sıcak Daldırma Galvaniz e:1,5mm</t>
  </si>
  <si>
    <t>20x20x20cm T Tipi Dönüş Elemanı-Sıcak Daldırma Galvaniz e:1,5mm</t>
  </si>
  <si>
    <t>50x20x50cm T Tipi Dönüş Elemanı-Sıcak Daldırma Galvaniz e:1,5mm</t>
  </si>
  <si>
    <t>30x50x30x50cm Dörtlü Dönüş Elemanı-Sıcak Daldırma Galvaniz e:1,5mm</t>
  </si>
  <si>
    <t>20x20x20x20cm Dörtlü Dönüş Elemanı-Sıcak Daldırma Galvaniz e:1,5mm</t>
  </si>
  <si>
    <t>PLASTİK İZOLELİ İLETKEN, (HO7Z,O7Z1,R,ENAZ 300/500 V)
Tüm kablo uç bağlantıları DIN norm kablo pabuçları,bimetal skp pabuçları kablo birim fiyatları dahilindedir.</t>
  </si>
  <si>
    <t>N2XH FE 180 NYY KABLOLAR
Tüm kablo uç bağlantıları DIN norm kablo pabuçları,bimetal skp pabuçları kablo birim fiyatları dahilindedir.</t>
  </si>
  <si>
    <t>HES NEXANS PRYSMIAN ÖZNUR</t>
  </si>
  <si>
    <t>Panolar odaya yerleşecek şekilde uygun ölçülere getirilerek yapılacaktır.</t>
  </si>
  <si>
    <t>3x95/50mm² N2XH</t>
  </si>
  <si>
    <t>DX3 3P C 80A 10kA</t>
  </si>
  <si>
    <t>SİNYAL LAMBASI SARI 220V LED</t>
  </si>
  <si>
    <t>XG6 1P B6 6kA</t>
  </si>
  <si>
    <t>10x38 Sigorta Yuvası 3P</t>
  </si>
  <si>
    <t>10x38  32A Silindirik Sigorta Buşonu</t>
  </si>
  <si>
    <t>C TİPİ 4 KUTUPLU 40 kA  AG PARAFUDR</t>
  </si>
  <si>
    <t xml:space="preserve">XC10 4P 40A AC 30MA </t>
  </si>
  <si>
    <t>XG6 1P C16 6kA</t>
  </si>
  <si>
    <t>XG6 3P C16 6kA</t>
  </si>
  <si>
    <t>XG6 3P C50 6kA</t>
  </si>
  <si>
    <t>CTX³ 3P kontaktör 12A 1NA+1NK 230V AC bobinli</t>
  </si>
  <si>
    <t>CTX³ 3P kontaktör 9A 1NA+1NK 230V AC bobinli</t>
  </si>
  <si>
    <t>RTX³ termik röle 2.5A - 4A arası (CTX³ 22/40 kontaktör için)</t>
  </si>
  <si>
    <t>RTX³ termik röle 1.6A - 2.5A arası (CTX³ 22/40 kontaktör için)</t>
  </si>
  <si>
    <t>RTX³ termik röle 1A - 1.6A arası (CTX³ 22/40 kontaktör için)</t>
  </si>
  <si>
    <t>RTX³ termik röle 0.63A - 1A arası (CTX³ 22/40 kontaktör için)</t>
  </si>
  <si>
    <t>1X20A 1-0-2 PAKO ŞALTER</t>
  </si>
  <si>
    <t>XG6 1P C25 6kA</t>
  </si>
  <si>
    <t xml:space="preserve">XC10 2P 25A AC 30MA </t>
  </si>
  <si>
    <t>PYK 16 GRI</t>
  </si>
  <si>
    <t>PYK 6 GRI</t>
  </si>
  <si>
    <t>PYK 4 GRI</t>
  </si>
  <si>
    <t>PYK 2.5_M2F (GRI) ÇİFT KATLI</t>
  </si>
  <si>
    <t>KD 4 GRI / VİDASIZ DURDURUCU</t>
  </si>
  <si>
    <t>LEGRAND</t>
  </si>
  <si>
    <t>KRAUS</t>
  </si>
  <si>
    <t>1.10</t>
  </si>
  <si>
    <t>1.11</t>
  </si>
  <si>
    <t>1.12</t>
  </si>
  <si>
    <t>1.13</t>
  </si>
  <si>
    <t>1.14</t>
  </si>
  <si>
    <t>1.15</t>
  </si>
  <si>
    <t>1.16</t>
  </si>
  <si>
    <t>1.17</t>
  </si>
  <si>
    <t>1.18</t>
  </si>
  <si>
    <t>1.19</t>
  </si>
  <si>
    <t>1.20</t>
  </si>
  <si>
    <t>1.21</t>
  </si>
  <si>
    <t>1.22</t>
  </si>
  <si>
    <t>1.23</t>
  </si>
  <si>
    <t>1.24</t>
  </si>
  <si>
    <t>1.25</t>
  </si>
  <si>
    <t>1.26</t>
  </si>
  <si>
    <t>1.27</t>
  </si>
  <si>
    <t>1.28</t>
  </si>
  <si>
    <t>1.29</t>
  </si>
  <si>
    <t>1.30</t>
  </si>
  <si>
    <t xml:space="preserve">XC10 4P 25A AC 30MA </t>
  </si>
  <si>
    <t xml:space="preserve">XC10 4P 40A AC 300MA </t>
  </si>
  <si>
    <t>XG6 1P B10 6kA</t>
  </si>
  <si>
    <t>XG6 3P C20 6kA</t>
  </si>
  <si>
    <t>XG6 3P C40 6kA</t>
  </si>
  <si>
    <t>PYK 10 GRI</t>
  </si>
  <si>
    <t>2.9</t>
  </si>
  <si>
    <t>2.10</t>
  </si>
  <si>
    <t>2.11</t>
  </si>
  <si>
    <t>2.12</t>
  </si>
  <si>
    <t>2.13</t>
  </si>
  <si>
    <t>2.14</t>
  </si>
  <si>
    <t>2.15</t>
  </si>
  <si>
    <t>2.16</t>
  </si>
  <si>
    <t>2.17</t>
  </si>
  <si>
    <t>2.18</t>
  </si>
  <si>
    <t>2.19</t>
  </si>
  <si>
    <t>2.20</t>
  </si>
  <si>
    <t>2.21</t>
  </si>
  <si>
    <t>2.22</t>
  </si>
  <si>
    <t>2.23</t>
  </si>
  <si>
    <t>2.24</t>
  </si>
  <si>
    <t>2.25</t>
  </si>
  <si>
    <t>2.26</t>
  </si>
  <si>
    <t>3</t>
  </si>
  <si>
    <t>XG6 3P C25 6kA</t>
  </si>
  <si>
    <t>10x38  25A Silindirik Sigorta Buşonu</t>
  </si>
  <si>
    <t>3.1</t>
  </si>
  <si>
    <t>3.2</t>
  </si>
  <si>
    <t>3.3</t>
  </si>
  <si>
    <t>3.4</t>
  </si>
  <si>
    <t>3.5</t>
  </si>
  <si>
    <t>3.6</t>
  </si>
  <si>
    <t>3.7</t>
  </si>
  <si>
    <t>3.8</t>
  </si>
  <si>
    <t>3.9</t>
  </si>
  <si>
    <t>3.10</t>
  </si>
  <si>
    <t>3.11</t>
  </si>
  <si>
    <t>3.12</t>
  </si>
  <si>
    <t>4</t>
  </si>
  <si>
    <t>4.1</t>
  </si>
  <si>
    <t>4.2</t>
  </si>
  <si>
    <t>4.3</t>
  </si>
  <si>
    <t>4.4</t>
  </si>
  <si>
    <t>4.5</t>
  </si>
  <si>
    <t>4.6</t>
  </si>
  <si>
    <t>4.7</t>
  </si>
  <si>
    <t>4.8</t>
  </si>
  <si>
    <t>4.9</t>
  </si>
  <si>
    <t>4.10</t>
  </si>
  <si>
    <t>4.11</t>
  </si>
  <si>
    <t>4.12</t>
  </si>
  <si>
    <t>5</t>
  </si>
  <si>
    <t>XG6 3P C32 6kA</t>
  </si>
  <si>
    <t>5.1</t>
  </si>
  <si>
    <t>5.2</t>
  </si>
  <si>
    <t>5.3</t>
  </si>
  <si>
    <t>5.4</t>
  </si>
  <si>
    <t>5.5</t>
  </si>
  <si>
    <t>5.6</t>
  </si>
  <si>
    <t>5.7</t>
  </si>
  <si>
    <t>5.8</t>
  </si>
  <si>
    <t>5.9</t>
  </si>
  <si>
    <t>5.10</t>
  </si>
  <si>
    <t>5.11</t>
  </si>
  <si>
    <t>5.12</t>
  </si>
  <si>
    <t>5.13</t>
  </si>
  <si>
    <t>5.14</t>
  </si>
  <si>
    <t>5.15</t>
  </si>
  <si>
    <t>5.16</t>
  </si>
  <si>
    <t>6</t>
  </si>
  <si>
    <t>6.1</t>
  </si>
  <si>
    <t>6.2</t>
  </si>
  <si>
    <t>6.3</t>
  </si>
  <si>
    <t>6.4</t>
  </si>
  <si>
    <t>6.5</t>
  </si>
  <si>
    <t>6.6</t>
  </si>
  <si>
    <t>6.7</t>
  </si>
  <si>
    <t>6.8</t>
  </si>
  <si>
    <t>6.9</t>
  </si>
  <si>
    <t>6.10</t>
  </si>
  <si>
    <t>6.11</t>
  </si>
  <si>
    <t>6.12</t>
  </si>
  <si>
    <t>6.13</t>
  </si>
  <si>
    <t>6.14</t>
  </si>
  <si>
    <t>7</t>
  </si>
  <si>
    <t>XG6 1P C20 6kA</t>
  </si>
  <si>
    <t>Astronomik Zaman Rölesi, (16A)</t>
  </si>
  <si>
    <t>XG6 1P C10 6kA</t>
  </si>
  <si>
    <t>CTX³ 3P kontaktör 18A 1NA+1NK 230V AC bobinli</t>
  </si>
  <si>
    <t>7.1</t>
  </si>
  <si>
    <t>7.2</t>
  </si>
  <si>
    <t>7.3</t>
  </si>
  <si>
    <t>7.4</t>
  </si>
  <si>
    <t>7.5</t>
  </si>
  <si>
    <t>7.6</t>
  </si>
  <si>
    <t>7.7</t>
  </si>
  <si>
    <t>7.8</t>
  </si>
  <si>
    <t>7.9</t>
  </si>
  <si>
    <t>7.10</t>
  </si>
  <si>
    <t>7.11</t>
  </si>
  <si>
    <t>7.12</t>
  </si>
  <si>
    <t>7.13</t>
  </si>
  <si>
    <t>7.14</t>
  </si>
  <si>
    <t>7.15</t>
  </si>
  <si>
    <t>7.16</t>
  </si>
  <si>
    <t>7.17</t>
  </si>
  <si>
    <t>7.18</t>
  </si>
  <si>
    <t>7.19</t>
  </si>
  <si>
    <t>7.20</t>
  </si>
  <si>
    <t>7.21</t>
  </si>
  <si>
    <t>7.22</t>
  </si>
  <si>
    <t>7.23</t>
  </si>
  <si>
    <t>7.24</t>
  </si>
  <si>
    <t>7.25</t>
  </si>
  <si>
    <t>8</t>
  </si>
  <si>
    <t>DPX³250 MANY. 3P 160A 36kA</t>
  </si>
  <si>
    <t>DPX³ 160/250 için 200V - 277V AC açtırma bobini</t>
  </si>
  <si>
    <t>KAÇAK AKIM ALGILAMA RÖLESİ – 230V AC Trip</t>
  </si>
  <si>
    <t>KAPALI TİP TOROİD AKIM TRAFOSU Ø80MM – 0,03A</t>
  </si>
  <si>
    <t>NH Boy 00 - 3 x 160 A taban sacına montajlı yatay S.Y.A.</t>
  </si>
  <si>
    <t>NH BUŞON 160 A</t>
  </si>
  <si>
    <t>RTX³ termik röle 22A - 32A arası (CTX³ 22/40 kontaktör için)</t>
  </si>
  <si>
    <t>Yıldız - Üçgen Röle Y:1-60sn / Y→Δ:20-500ms</t>
  </si>
  <si>
    <t>IME</t>
  </si>
  <si>
    <t>8.1</t>
  </si>
  <si>
    <t>8.2</t>
  </si>
  <si>
    <t>8.3</t>
  </si>
  <si>
    <t>8.4</t>
  </si>
  <si>
    <t>8.5</t>
  </si>
  <si>
    <t>8.6</t>
  </si>
  <si>
    <t>8.7</t>
  </si>
  <si>
    <t>8.8</t>
  </si>
  <si>
    <t>8.9</t>
  </si>
  <si>
    <t>8.10</t>
  </si>
  <si>
    <t>8.11</t>
  </si>
  <si>
    <t>8.12</t>
  </si>
  <si>
    <t>8.13</t>
  </si>
  <si>
    <t>8.14</t>
  </si>
  <si>
    <t>8.15</t>
  </si>
  <si>
    <t>8.16</t>
  </si>
  <si>
    <t>8.17</t>
  </si>
  <si>
    <t>8.18</t>
  </si>
  <si>
    <t>8.19</t>
  </si>
  <si>
    <t>8.20</t>
  </si>
  <si>
    <t>8.21</t>
  </si>
  <si>
    <t>8.22</t>
  </si>
  <si>
    <t>9</t>
  </si>
  <si>
    <t>9.1</t>
  </si>
  <si>
    <t>9.2</t>
  </si>
  <si>
    <t>9.3</t>
  </si>
  <si>
    <t>9.4</t>
  </si>
  <si>
    <t>9.5</t>
  </si>
  <si>
    <t>9.6</t>
  </si>
  <si>
    <t>9.7</t>
  </si>
  <si>
    <t>9.8</t>
  </si>
  <si>
    <t>9.9</t>
  </si>
  <si>
    <t>9.10</t>
  </si>
  <si>
    <t>9.11</t>
  </si>
  <si>
    <t>9.12</t>
  </si>
  <si>
    <t>9.13</t>
  </si>
  <si>
    <t>10</t>
  </si>
  <si>
    <t>10.1</t>
  </si>
  <si>
    <t>10.2</t>
  </si>
  <si>
    <t>10.3</t>
  </si>
  <si>
    <t>10.4</t>
  </si>
  <si>
    <t>10.5</t>
  </si>
  <si>
    <t>10.6</t>
  </si>
  <si>
    <t>10.7</t>
  </si>
  <si>
    <t>10.8</t>
  </si>
  <si>
    <t>10.9</t>
  </si>
  <si>
    <t>10.10</t>
  </si>
  <si>
    <t>10.11</t>
  </si>
  <si>
    <t>10.12</t>
  </si>
  <si>
    <t>10.13</t>
  </si>
  <si>
    <t>11</t>
  </si>
  <si>
    <t>11.1</t>
  </si>
  <si>
    <t>22.2</t>
  </si>
  <si>
    <t>11.2</t>
  </si>
  <si>
    <t>11.3</t>
  </si>
  <si>
    <t>11.4</t>
  </si>
  <si>
    <t>11.5</t>
  </si>
  <si>
    <t>11.6</t>
  </si>
  <si>
    <t>11.7</t>
  </si>
  <si>
    <t>11.8</t>
  </si>
  <si>
    <t>11.9</t>
  </si>
  <si>
    <t>11.10</t>
  </si>
  <si>
    <t>11.11</t>
  </si>
  <si>
    <t>11.12</t>
  </si>
  <si>
    <t>11.13</t>
  </si>
  <si>
    <t>12</t>
  </si>
  <si>
    <t>12.1</t>
  </si>
  <si>
    <t>12.2</t>
  </si>
  <si>
    <t>12.3</t>
  </si>
  <si>
    <t>12.4</t>
  </si>
  <si>
    <t>12.5</t>
  </si>
  <si>
    <t>12.6</t>
  </si>
  <si>
    <t>12.7</t>
  </si>
  <si>
    <t>12.8</t>
  </si>
  <si>
    <t>12.9</t>
  </si>
  <si>
    <t>12.10</t>
  </si>
  <si>
    <t>12.11</t>
  </si>
  <si>
    <t>12.12</t>
  </si>
  <si>
    <t>12.13</t>
  </si>
  <si>
    <t>13</t>
  </si>
  <si>
    <t>13.1</t>
  </si>
  <si>
    <t>13.7</t>
  </si>
  <si>
    <t>13.2</t>
  </si>
  <si>
    <t>13.3</t>
  </si>
  <si>
    <t>13.4</t>
  </si>
  <si>
    <t>13.5</t>
  </si>
  <si>
    <t>13.6</t>
  </si>
  <si>
    <t>13.8</t>
  </si>
  <si>
    <t>13.9</t>
  </si>
  <si>
    <t>13.10</t>
  </si>
  <si>
    <t>13.11</t>
  </si>
  <si>
    <t>13.12</t>
  </si>
  <si>
    <t>13.13</t>
  </si>
  <si>
    <t>13.14</t>
  </si>
  <si>
    <t>13.15</t>
  </si>
  <si>
    <t>13.16</t>
  </si>
  <si>
    <t>13.17</t>
  </si>
  <si>
    <t>13.18</t>
  </si>
  <si>
    <t>13.19</t>
  </si>
  <si>
    <t>13.20</t>
  </si>
  <si>
    <t>14</t>
  </si>
  <si>
    <t>14.1</t>
  </si>
  <si>
    <t>14.7</t>
  </si>
  <si>
    <t>14.2</t>
  </si>
  <si>
    <t>14.3</t>
  </si>
  <si>
    <t>14.4</t>
  </si>
  <si>
    <t>14.5</t>
  </si>
  <si>
    <t>14.6</t>
  </si>
  <si>
    <t>14.8</t>
  </si>
  <si>
    <t>14.9</t>
  </si>
  <si>
    <t>14.10</t>
  </si>
  <si>
    <t>14.11</t>
  </si>
  <si>
    <t>14.12</t>
  </si>
  <si>
    <t>14.13</t>
  </si>
  <si>
    <t>14.14</t>
  </si>
  <si>
    <t>14.15</t>
  </si>
  <si>
    <t>14.16</t>
  </si>
  <si>
    <t>14.17</t>
  </si>
  <si>
    <t>14.18</t>
  </si>
  <si>
    <t>15</t>
  </si>
  <si>
    <t>15.1</t>
  </si>
  <si>
    <t>15.6</t>
  </si>
  <si>
    <t>15.3</t>
  </si>
  <si>
    <t>15.2</t>
  </si>
  <si>
    <t>15.4</t>
  </si>
  <si>
    <t>15.5</t>
  </si>
  <si>
    <t>15.7</t>
  </si>
  <si>
    <t>15.8</t>
  </si>
  <si>
    <t>15.9</t>
  </si>
  <si>
    <t>15.10</t>
  </si>
  <si>
    <t>15.11</t>
  </si>
  <si>
    <t>15.12</t>
  </si>
  <si>
    <t>15.13</t>
  </si>
  <si>
    <t>15.14</t>
  </si>
  <si>
    <t>15.15</t>
  </si>
  <si>
    <t>15.16</t>
  </si>
  <si>
    <t>15.17</t>
  </si>
  <si>
    <t>15.18</t>
  </si>
  <si>
    <t>15.19</t>
  </si>
  <si>
    <t>15.20</t>
  </si>
  <si>
    <t>15.21</t>
  </si>
  <si>
    <t>16</t>
  </si>
  <si>
    <t>16.1</t>
  </si>
  <si>
    <t>16.6</t>
  </si>
  <si>
    <t>16.3</t>
  </si>
  <si>
    <t>16.2</t>
  </si>
  <si>
    <t>16.4</t>
  </si>
  <si>
    <t>16.5</t>
  </si>
  <si>
    <t>16.7</t>
  </si>
  <si>
    <t>16.8</t>
  </si>
  <si>
    <t>16.9</t>
  </si>
  <si>
    <t>16.10</t>
  </si>
  <si>
    <t>16.11</t>
  </si>
  <si>
    <t>16.12</t>
  </si>
  <si>
    <t>16.13</t>
  </si>
  <si>
    <t>16.14</t>
  </si>
  <si>
    <t>16.15</t>
  </si>
  <si>
    <t>16.16</t>
  </si>
  <si>
    <t>16.17</t>
  </si>
  <si>
    <t>16.18</t>
  </si>
  <si>
    <t>16.19</t>
  </si>
  <si>
    <t>16.20</t>
  </si>
  <si>
    <t>16.21</t>
  </si>
  <si>
    <t>16.22</t>
  </si>
  <si>
    <t>17</t>
  </si>
  <si>
    <t>17.1</t>
  </si>
  <si>
    <t>17.2</t>
  </si>
  <si>
    <t>17.3</t>
  </si>
  <si>
    <t>17.4</t>
  </si>
  <si>
    <t>17.5</t>
  </si>
  <si>
    <t>17.6</t>
  </si>
  <si>
    <t>17.7</t>
  </si>
  <si>
    <t>17.8</t>
  </si>
  <si>
    <t>17.9</t>
  </si>
  <si>
    <t>17.10</t>
  </si>
  <si>
    <t>17.11</t>
  </si>
  <si>
    <t>17.12</t>
  </si>
  <si>
    <t>17.13</t>
  </si>
  <si>
    <t>17.14</t>
  </si>
  <si>
    <t>17.15</t>
  </si>
  <si>
    <t>17.16</t>
  </si>
  <si>
    <t>17.17</t>
  </si>
  <si>
    <t>17.18</t>
  </si>
  <si>
    <t>17.19</t>
  </si>
  <si>
    <t>17.20</t>
  </si>
  <si>
    <t>17.21</t>
  </si>
  <si>
    <t>17.22</t>
  </si>
  <si>
    <t>18</t>
  </si>
  <si>
    <t>18.1</t>
  </si>
  <si>
    <t>18.2</t>
  </si>
  <si>
    <t>18.3</t>
  </si>
  <si>
    <t>18.4</t>
  </si>
  <si>
    <t>18.5</t>
  </si>
  <si>
    <t>18.6</t>
  </si>
  <si>
    <t>18.7</t>
  </si>
  <si>
    <t>18.8</t>
  </si>
  <si>
    <t>18.9</t>
  </si>
  <si>
    <t>18.10</t>
  </si>
  <si>
    <t>18.11</t>
  </si>
  <si>
    <t>18.12</t>
  </si>
  <si>
    <t>18.13</t>
  </si>
  <si>
    <t>18.14</t>
  </si>
  <si>
    <t>18.15</t>
  </si>
  <si>
    <t>18.16</t>
  </si>
  <si>
    <t>18.17</t>
  </si>
  <si>
    <t>18.18</t>
  </si>
  <si>
    <t>18.19</t>
  </si>
  <si>
    <t>18.20</t>
  </si>
  <si>
    <t>18.21</t>
  </si>
  <si>
    <t>19</t>
  </si>
  <si>
    <t>DPX³160 TM 3P 40A 36kA</t>
  </si>
  <si>
    <t>14x51 Sigorta Yuvası 3P</t>
  </si>
  <si>
    <t>14x51  50A Silindirik Sigorta Buşonu</t>
  </si>
  <si>
    <t>1 A/K  230 V AC RÖLE</t>
  </si>
  <si>
    <t>PCB role icin standart soket</t>
  </si>
  <si>
    <t>220/24 V DC Güç Kaynağı 1,5A</t>
  </si>
  <si>
    <t>MPX³ 32S motor koruma şalteri 4 - 6A (basmalı tip)</t>
  </si>
  <si>
    <t>MPX³ 32S motor koruma şalteri 2.5 - 4A (basmalı tip)</t>
  </si>
  <si>
    <t>MPX³ 32S motor koruma şalteri 1.6 - 2.5A (basmalı tip)</t>
  </si>
  <si>
    <t>MPX³ 32S motor koruma şalteri 1 - 1.6A (basmalı tip)</t>
  </si>
  <si>
    <t>MPX³ 32S motor koruma şalteri 0.63 - 1A (basmalı tip)</t>
  </si>
  <si>
    <t>MPX³ motor koruma şalterleri için yana montaj yardımcı kontak 1NA+1NK</t>
  </si>
  <si>
    <t>19.1</t>
  </si>
  <si>
    <t>19.2</t>
  </si>
  <si>
    <t>19.3</t>
  </si>
  <si>
    <t>19.4</t>
  </si>
  <si>
    <t>19.5</t>
  </si>
  <si>
    <t>19.6</t>
  </si>
  <si>
    <t>19.7</t>
  </si>
  <si>
    <t>19.8</t>
  </si>
  <si>
    <t>19.9</t>
  </si>
  <si>
    <t>19.10</t>
  </si>
  <si>
    <t>19.11</t>
  </si>
  <si>
    <t>19.12</t>
  </si>
  <si>
    <t>19.13</t>
  </si>
  <si>
    <t>19.14</t>
  </si>
  <si>
    <t>19.15</t>
  </si>
  <si>
    <t>19.16</t>
  </si>
  <si>
    <t>19.17</t>
  </si>
  <si>
    <t>19.18</t>
  </si>
  <si>
    <t>19.19</t>
  </si>
  <si>
    <t>19.20</t>
  </si>
  <si>
    <t>19.21</t>
  </si>
  <si>
    <t>19.22</t>
  </si>
  <si>
    <t>19.23</t>
  </si>
  <si>
    <t>19.24</t>
  </si>
  <si>
    <t>19.25</t>
  </si>
  <si>
    <t>19.26</t>
  </si>
  <si>
    <t>19.27</t>
  </si>
  <si>
    <t>19.28</t>
  </si>
  <si>
    <t>20</t>
  </si>
  <si>
    <t>CTX³ 4P kontaktör bobin gerilimi 230V AC - AC1 göre 60A veya AC3 göre 40A</t>
  </si>
  <si>
    <t>CTX³ kontaktörlere eklenebilir öne montaj yardımcı kontak 2NA+2NK</t>
  </si>
  <si>
    <t>4X40-50A 1-0-2 PAKO ŞALTER</t>
  </si>
  <si>
    <t>20.1</t>
  </si>
  <si>
    <t>20.2</t>
  </si>
  <si>
    <t>20.3</t>
  </si>
  <si>
    <t>20.4</t>
  </si>
  <si>
    <t>20.5</t>
  </si>
  <si>
    <t>20.6</t>
  </si>
  <si>
    <t>20.7</t>
  </si>
  <si>
    <t>20.8</t>
  </si>
  <si>
    <t>20.9</t>
  </si>
  <si>
    <t>20.10</t>
  </si>
  <si>
    <t>20.11</t>
  </si>
  <si>
    <t>20.12</t>
  </si>
  <si>
    <t>20.13</t>
  </si>
  <si>
    <t>20.14</t>
  </si>
  <si>
    <t>20.15</t>
  </si>
  <si>
    <t>20.16</t>
  </si>
  <si>
    <t>20.17</t>
  </si>
  <si>
    <t>20.18</t>
  </si>
  <si>
    <t>21</t>
  </si>
  <si>
    <t>21.1</t>
  </si>
  <si>
    <t>21.2</t>
  </si>
  <si>
    <t>21.3</t>
  </si>
  <si>
    <t>21.4</t>
  </si>
  <si>
    <t>21.5</t>
  </si>
  <si>
    <t>21.6</t>
  </si>
  <si>
    <t>21.7</t>
  </si>
  <si>
    <t>21.8</t>
  </si>
  <si>
    <t>21.9</t>
  </si>
  <si>
    <t>22</t>
  </si>
  <si>
    <t>DPX³630 TM 4P 630A 36kA</t>
  </si>
  <si>
    <t>KAPALI TİP TOROİD AKIM TRAFOSU Ø210MM – 0,3A</t>
  </si>
  <si>
    <t>600/5 CL0,5 10VA AKIM TRAFOSU (MÜHÜRLÜ)</t>
  </si>
  <si>
    <t>X/5 KOMBİ SAYAÇ</t>
  </si>
  <si>
    <t>CCF SERİSİ 4P 630 ATRANSFER ŞALTERİ</t>
  </si>
  <si>
    <t>CCF SERİSİ 4P 630 ATRANSFER ŞALTERİ MOTORU</t>
  </si>
  <si>
    <t>B+C TİPİ  4 KUTUPLU 100 kA   AG PARAFUDR</t>
  </si>
  <si>
    <t>DPX³250 MANY. 3P 250A 36kA</t>
  </si>
  <si>
    <t>DPX³250 MANY. 3P 200A 36kA</t>
  </si>
  <si>
    <t>DPX³250 MANY. 3P 100A 36kA</t>
  </si>
  <si>
    <t>DPX³160 MANY. 3P 63A 25kA</t>
  </si>
  <si>
    <t>DPX³160 MANY. 3P 50A 25kA</t>
  </si>
  <si>
    <t>3 A/K  230 V AC RÖLE</t>
  </si>
  <si>
    <t>Minyatur role icin soket 3 A/K</t>
  </si>
  <si>
    <t>BAKIR BARA ELEKTROLİTİK</t>
  </si>
  <si>
    <t>22.1</t>
  </si>
  <si>
    <t>22.3</t>
  </si>
  <si>
    <t>22.4</t>
  </si>
  <si>
    <t>22.5</t>
  </si>
  <si>
    <t>22.6</t>
  </si>
  <si>
    <t>22.7</t>
  </si>
  <si>
    <t>22.8</t>
  </si>
  <si>
    <t>22.9</t>
  </si>
  <si>
    <t>22.10</t>
  </si>
  <si>
    <t>22.11</t>
  </si>
  <si>
    <t>22.12</t>
  </si>
  <si>
    <t>22.13</t>
  </si>
  <si>
    <t>22.14</t>
  </si>
  <si>
    <t>22.15</t>
  </si>
  <si>
    <t>22.16</t>
  </si>
  <si>
    <t>22.17</t>
  </si>
  <si>
    <t>22.18</t>
  </si>
  <si>
    <t>22.19</t>
  </si>
  <si>
    <t>22.20</t>
  </si>
  <si>
    <t>22.21</t>
  </si>
  <si>
    <t>22.22</t>
  </si>
  <si>
    <t>22.23</t>
  </si>
  <si>
    <t>22.24</t>
  </si>
  <si>
    <t>22.25</t>
  </si>
  <si>
    <t>22.26</t>
  </si>
  <si>
    <t>SEZGİN</t>
  </si>
  <si>
    <t>TELERGON</t>
  </si>
  <si>
    <t>SARKUYSAN</t>
  </si>
  <si>
    <t>23</t>
  </si>
  <si>
    <t>600/5 CL0,5 10VA AKIM TRAFOSU</t>
  </si>
  <si>
    <t>DPX³630 TM 4P 400A 36kA</t>
  </si>
  <si>
    <t>DPX³160 TM 4P 63A 36kA</t>
  </si>
  <si>
    <t>DPX³160 TM 4P 40A 36kA</t>
  </si>
  <si>
    <t>DPX³160 TM 3P 80A 36kA</t>
  </si>
  <si>
    <t>XD10 3P C40 10kA</t>
  </si>
  <si>
    <t>XD10 3P C32 10kA</t>
  </si>
  <si>
    <t>23.1</t>
  </si>
  <si>
    <t>23.2</t>
  </si>
  <si>
    <t>23.3</t>
  </si>
  <si>
    <t>23.4</t>
  </si>
  <si>
    <t>23.5</t>
  </si>
  <si>
    <t>23.6</t>
  </si>
  <si>
    <t>23.7</t>
  </si>
  <si>
    <t>23.8</t>
  </si>
  <si>
    <t>23.9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</si>
  <si>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</si>
  <si>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</si>
  <si>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</si>
  <si>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</si>
  <si>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</si>
  <si>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</si>
  <si>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</si>
  <si>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</si>
  <si>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</si>
  <si>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</si>
  <si>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</si>
  <si>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</si>
  <si>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</si>
  <si>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</si>
  <si>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</si>
  <si>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</si>
  <si>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</si>
  <si>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</si>
  <si>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</si>
  <si>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</si>
  <si>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</si>
  <si>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</si>
  <si>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24</t>
  </si>
  <si>
    <t>Reaktif Güç Kontrol Rölesi</t>
  </si>
  <si>
    <t>NH BUŞON 63 A</t>
  </si>
  <si>
    <t>NH BUŞON 32 A</t>
  </si>
  <si>
    <t>NH BUŞON 16 A</t>
  </si>
  <si>
    <t>20 kVAr Kompanzasyon Kontaktörü</t>
  </si>
  <si>
    <t>12,5 kVAr Kompanzasyon Kontaktörü</t>
  </si>
  <si>
    <t>5 kVAr Kompanzasyon Kontaktörü</t>
  </si>
  <si>
    <t>20 kVAr Harmonik Filtre 400V</t>
  </si>
  <si>
    <t>10 kVAr Harmonik Filtre 400V</t>
  </si>
  <si>
    <t>5 kVAr Harmonik Filtre 400V</t>
  </si>
  <si>
    <t>20 kVAr Kondansatör Trifaze</t>
  </si>
  <si>
    <t>10 kVAr Kondansatör Trifaze</t>
  </si>
  <si>
    <t>5 kVAr Kondansatör Trifaze</t>
  </si>
  <si>
    <t>5 KVAR SVC ENDÜKTİF YÜK SÜRÜCÜ</t>
  </si>
  <si>
    <t>1,5 kVAr Şönt Reaktörü Monofaze</t>
  </si>
  <si>
    <t>1X20A 0-1 PAKO ŞALTER</t>
  </si>
  <si>
    <t>FAN TERMOSTATI</t>
  </si>
  <si>
    <t>210x210 FANLI FİLTRE</t>
  </si>
  <si>
    <t>24.1</t>
  </si>
  <si>
    <t>24.2</t>
  </si>
  <si>
    <t>24.3</t>
  </si>
  <si>
    <t>24.4</t>
  </si>
  <si>
    <t>24.5</t>
  </si>
  <si>
    <t>24.6</t>
  </si>
  <si>
    <t>24.7</t>
  </si>
  <si>
    <t>24.8</t>
  </si>
  <si>
    <t>24.9</t>
  </si>
  <si>
    <t>24.10</t>
  </si>
  <si>
    <t>24.11</t>
  </si>
  <si>
    <t>24.12</t>
  </si>
  <si>
    <t>24.13</t>
  </si>
  <si>
    <t>24.14</t>
  </si>
  <si>
    <t>24.15</t>
  </si>
  <si>
    <t>24.16</t>
  </si>
  <si>
    <t>24.17</t>
  </si>
  <si>
    <t>24.18</t>
  </si>
  <si>
    <t>24.19</t>
  </si>
  <si>
    <t>24.20</t>
  </si>
  <si>
    <t>24.21</t>
  </si>
  <si>
    <t>24.22</t>
  </si>
  <si>
    <t>24.23</t>
  </si>
  <si>
    <t>24.24</t>
  </si>
  <si>
    <t>24.25</t>
  </si>
  <si>
    <t>24.26</t>
  </si>
  <si>
    <t>LOKAL.</t>
  </si>
  <si>
    <t>25</t>
  </si>
  <si>
    <t>DMX³ açtırma bobini 230V AC</t>
  </si>
  <si>
    <t>DMX³ MP4.10 koruma ünitesi</t>
  </si>
  <si>
    <t>Şebeke Analizörü</t>
  </si>
  <si>
    <t>2000/5 CL0,5 15VA AKIM TRAFOSU</t>
  </si>
  <si>
    <t>AÇILABİLİR TİP TOROİD AKIM TRAFOSU Ø300MM – 1A</t>
  </si>
  <si>
    <t>ACİL STOP BUTONU 1NA</t>
  </si>
  <si>
    <t>DPX³160 TM 4P 125A 36kA</t>
  </si>
  <si>
    <t>DPX³160 TM 4P 100A 36kA</t>
  </si>
  <si>
    <t>DPX³160 TM 4P 80A 36kA</t>
  </si>
  <si>
    <t>75/5 CL0,5 10 VA AKIM TRAFOSU BARALI ( MÜHÜRLÜ )</t>
  </si>
  <si>
    <t>100/5 CL0,5 10 VA AKIM TRAFOSU BARALI ( MÜHÜRLÜ )</t>
  </si>
  <si>
    <t>125/5 CL0,5 10 VA AKIM TRAFOSU BARALI ( MÜHÜRLÜ )</t>
  </si>
  <si>
    <t>XD10 3P C63 10kA</t>
  </si>
  <si>
    <t>DX³ KAK 4P AC 80A 300mA</t>
  </si>
  <si>
    <t>PYK 16 MAVI</t>
  </si>
  <si>
    <t>3x10A TRİFAZE SAYAÇ</t>
  </si>
  <si>
    <t>25.1</t>
  </si>
  <si>
    <t>25.6</t>
  </si>
  <si>
    <t>25.4</t>
  </si>
  <si>
    <t>25.2</t>
  </si>
  <si>
    <t>25.3</t>
  </si>
  <si>
    <t>25.5</t>
  </si>
  <si>
    <t>25.7</t>
  </si>
  <si>
    <t>25.8</t>
  </si>
  <si>
    <t>25.9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</si>
  <si>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</si>
  <si>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</si>
  <si>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</si>
  <si>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</si>
  <si>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</si>
  <si>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</si>
  <si>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</si>
  <si>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</si>
  <si>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</si>
  <si>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</si>
  <si>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</si>
  <si>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</si>
  <si>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</si>
  <si>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</si>
  <si>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</si>
  <si>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</si>
  <si>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</si>
  <si>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</si>
  <si>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</si>
  <si>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</si>
  <si>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</si>
  <si>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</si>
  <si>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</si>
  <si>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</si>
  <si>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</si>
  <si>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LOKAL</t>
  </si>
  <si>
    <t>26</t>
  </si>
  <si>
    <t>DPX³160 TM 4P 160A 36kA</t>
  </si>
  <si>
    <t>150/5 CL0,5 10 VA AKIM TRAFOSU BARALI ( MÜHÜRLÜ )</t>
  </si>
  <si>
    <t>26.1</t>
  </si>
  <si>
    <t>26.6</t>
  </si>
  <si>
    <t>26.2</t>
  </si>
  <si>
    <t>26.3</t>
  </si>
  <si>
    <t>26.4</t>
  </si>
  <si>
    <t>26.5</t>
  </si>
  <si>
    <t>26.7</t>
  </si>
  <si>
    <t>26.8</t>
  </si>
  <si>
    <t>26.9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</si>
  <si>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</si>
  <si>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</si>
  <si>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</si>
  <si>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</si>
  <si>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</si>
  <si>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</si>
  <si>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</si>
  <si>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</si>
  <si>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</si>
  <si>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</si>
  <si>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</si>
  <si>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</si>
  <si>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</si>
  <si>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</si>
  <si>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</si>
  <si>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</si>
  <si>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</si>
  <si>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</si>
  <si>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</si>
  <si>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</si>
  <si>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</si>
  <si>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</si>
  <si>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</si>
  <si>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</si>
  <si>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</si>
  <si>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</si>
  <si>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27</t>
  </si>
  <si>
    <t>400/5 CL0,5  10VA AKIM TRAFOSU(MÜHÜRLÜ)</t>
  </si>
  <si>
    <t>27.1</t>
  </si>
  <si>
    <t>27.6</t>
  </si>
  <si>
    <t>27.2</t>
  </si>
  <si>
    <t>27.3</t>
  </si>
  <si>
    <t>27.4</t>
  </si>
  <si>
    <t>27.5</t>
  </si>
  <si>
    <t>27.7</t>
  </si>
  <si>
    <t>27.8</t>
  </si>
  <si>
    <t>27.9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</si>
  <si>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</si>
  <si>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</si>
  <si>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</si>
  <si>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</si>
  <si>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</si>
  <si>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</si>
  <si>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</si>
  <si>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</si>
  <si>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</si>
  <si>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</si>
  <si>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</si>
  <si>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</si>
  <si>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</si>
  <si>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</si>
  <si>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</si>
  <si>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</si>
  <si>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</si>
  <si>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</si>
  <si>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</si>
  <si>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</si>
  <si>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</si>
  <si>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</si>
  <si>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</si>
  <si>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</si>
  <si>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</si>
  <si>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</si>
  <si>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28</t>
  </si>
  <si>
    <t>DPX³1600 TM 4P 1250A 36kA</t>
  </si>
  <si>
    <t>1250/5 CL0,5 10VA AKIM TRAFOSU</t>
  </si>
  <si>
    <t>28.1</t>
  </si>
  <si>
    <t>28.7</t>
  </si>
  <si>
    <t>28.2</t>
  </si>
  <si>
    <t>28.3</t>
  </si>
  <si>
    <t>28.4</t>
  </si>
  <si>
    <t>28.5</t>
  </si>
  <si>
    <t>28.6</t>
  </si>
  <si>
    <t>28.8</t>
  </si>
  <si>
    <t>28.9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</si>
  <si>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</si>
  <si>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</si>
  <si>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</si>
  <si>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</si>
  <si>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</si>
  <si>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</si>
  <si>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</si>
  <si>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</si>
  <si>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</si>
  <si>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</si>
  <si>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</si>
  <si>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</si>
  <si>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</si>
  <si>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</si>
  <si>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</si>
  <si>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</si>
  <si>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</si>
  <si>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</si>
  <si>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</si>
  <si>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</si>
  <si>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</si>
  <si>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29</t>
  </si>
  <si>
    <t>PYK 2,5 GRI</t>
  </si>
  <si>
    <t>3x80A(64-80A) TMŞ 36kA</t>
  </si>
  <si>
    <t>3x32A 10kA Anahtarlı Otomatik Sigorta C Tipi</t>
  </si>
  <si>
    <t>3x40A 10kA Anahtarlı Otomatik Sigorta C Tipi</t>
  </si>
  <si>
    <t>3x63A 10kA Anahtarlı Otomatik Sigorta C Tipi</t>
  </si>
  <si>
    <t>4x125A(101-125A) ayarlı TMŞ 36kA +Toroid Sistem(Akım trafosu+Röle)</t>
  </si>
  <si>
    <t>4x100A(81-100A) ayarlı TMŞ 36kA +Toroid Sistem(Akım trafosu+Röle)</t>
  </si>
  <si>
    <t>4x160A(126-160A) ayarlı TMŞ 36kA +Toroid Sistem(Akım trafosu+Röle)</t>
  </si>
  <si>
    <t>3x100A  (81-100A) ayarlı TMŞ 36kA</t>
  </si>
  <si>
    <t>DÜKKAN-92/93</t>
  </si>
  <si>
    <t>4x400A(251-400A) ayarlı TMŞ 36kA +Toroid Sistem(Akım trafosu+Röle)</t>
  </si>
  <si>
    <t>29.1</t>
  </si>
  <si>
    <t>29.1.1</t>
  </si>
  <si>
    <t>29.1.3</t>
  </si>
  <si>
    <t>29.1.5</t>
  </si>
  <si>
    <t>29.1.2</t>
  </si>
  <si>
    <t>29.1.4</t>
  </si>
  <si>
    <t>29.1.6</t>
  </si>
  <si>
    <t>29.1.7</t>
  </si>
  <si>
    <t>29.1.8</t>
  </si>
  <si>
    <t>29.2</t>
  </si>
  <si>
    <t>29.3</t>
  </si>
  <si>
    <t>29.6</t>
  </si>
  <si>
    <t>29.4</t>
  </si>
  <si>
    <t>29.2.1</t>
  </si>
  <si>
    <t>29.2.2</t>
  </si>
  <si>
    <t>29.2.3</t>
  </si>
  <si>
    <t>29.2.4</t>
  </si>
  <si>
    <t>29.2.5</t>
  </si>
  <si>
    <t>29.2.6</t>
  </si>
  <si>
    <t>29.2.7</t>
  </si>
  <si>
    <t>29.2.8</t>
  </si>
  <si>
    <t>29.3.1</t>
  </si>
  <si>
    <t>29.4.1</t>
  </si>
  <si>
    <t>29.3.2</t>
  </si>
  <si>
    <t>29.3.3</t>
  </si>
  <si>
    <t>29.3.4</t>
  </si>
  <si>
    <t>29.3.5</t>
  </si>
  <si>
    <t>29.3.6</t>
  </si>
  <si>
    <t>29.3.7</t>
  </si>
  <si>
    <t>29.3.8</t>
  </si>
  <si>
    <t>29.4.2</t>
  </si>
  <si>
    <t>29.4.3</t>
  </si>
  <si>
    <t>29.4.4</t>
  </si>
  <si>
    <t>29.4.5</t>
  </si>
  <si>
    <t>29.4.6</t>
  </si>
  <si>
    <t>29.4.7</t>
  </si>
  <si>
    <t>29.4.8</t>
  </si>
  <si>
    <t>29.5</t>
  </si>
  <si>
    <t>29.5.1</t>
  </si>
  <si>
    <t>29.5.2</t>
  </si>
  <si>
    <t>29.5.3</t>
  </si>
  <si>
    <t>29.5.4</t>
  </si>
  <si>
    <t>29.5.5</t>
  </si>
  <si>
    <t>29.5.6</t>
  </si>
  <si>
    <t>29.5.7</t>
  </si>
  <si>
    <t>29.5.8</t>
  </si>
  <si>
    <t>29.6.1</t>
  </si>
  <si>
    <t>29.6.6</t>
  </si>
  <si>
    <t>29.6.5</t>
  </si>
  <si>
    <t>29.6.2</t>
  </si>
  <si>
    <t>29.6.3</t>
  </si>
  <si>
    <t>29.6.4</t>
  </si>
  <si>
    <t>29.6.7</t>
  </si>
  <si>
    <t>29.7</t>
  </si>
  <si>
    <t>29.7.1</t>
  </si>
  <si>
    <t>29.7.6</t>
  </si>
  <si>
    <t>29.7.5</t>
  </si>
  <si>
    <t>29.7.2</t>
  </si>
  <si>
    <t>29.7.3</t>
  </si>
  <si>
    <t>29.7.4</t>
  </si>
  <si>
    <t>29.7.7</t>
  </si>
  <si>
    <t>29.8</t>
  </si>
  <si>
    <t>29.8.1</t>
  </si>
  <si>
    <t>29.8.6</t>
  </si>
  <si>
    <t>29.8.2</t>
  </si>
  <si>
    <t>29.8.3</t>
  </si>
  <si>
    <t>29.8.4</t>
  </si>
  <si>
    <t>29.8.5</t>
  </si>
  <si>
    <t>29.8.7</t>
  </si>
  <si>
    <t>29.9</t>
  </si>
  <si>
    <t>29.9.1</t>
  </si>
  <si>
    <t>29.9.6</t>
  </si>
  <si>
    <t>29.9.5</t>
  </si>
  <si>
    <t>29.9.4</t>
  </si>
  <si>
    <t>29.9.2</t>
  </si>
  <si>
    <t>29.9.3</t>
  </si>
  <si>
    <t>29.9.7</t>
  </si>
  <si>
    <t>29.9.8</t>
  </si>
  <si>
    <t>29.10</t>
  </si>
  <si>
    <t>29.10.1</t>
  </si>
  <si>
    <t>29.10.3</t>
  </si>
  <si>
    <t>29.10.2</t>
  </si>
  <si>
    <t>29.10.4</t>
  </si>
  <si>
    <t>29.10.5</t>
  </si>
  <si>
    <t>29.10.6</t>
  </si>
  <si>
    <t>29.10.7</t>
  </si>
  <si>
    <t>DÜKKAN PANOLARI((bara, bara tutucu,kablo pabucu,kablo kanalı v.b pano malzeme montajı için gerekli ,  her nevi sarf malzeme dahildir.))</t>
  </si>
  <si>
    <t>BAKIR BARA ELEKTROLİTİK(Onaylı proje bara kesitleirne göre)</t>
  </si>
  <si>
    <t>SİNYAL LAMBASI SARI 220V LED+B496:B529</t>
  </si>
  <si>
    <t>BAKIR BARA ELEKTROLİTİK(Onaylı proje kesitlerine göre)</t>
  </si>
  <si>
    <t>BAKIR BARA ELEKTROLİTİK(Onyalı proje kesitlerine göre)</t>
  </si>
  <si>
    <t>BAKIR BARA ELEKTROLİTİK(onaylı proje kesitlerine göre)</t>
  </si>
  <si>
    <t>SADECE İŞÇİLİK</t>
  </si>
  <si>
    <t>SİGMA EMAS GWEST</t>
  </si>
  <si>
    <t>29.11</t>
  </si>
  <si>
    <t>29.11.1</t>
  </si>
  <si>
    <t>29.11.2</t>
  </si>
  <si>
    <t>29.11.3</t>
  </si>
  <si>
    <t>29.11.4</t>
  </si>
  <si>
    <t>29.11.5</t>
  </si>
  <si>
    <t>29.11.6</t>
  </si>
  <si>
    <t>29.11.7</t>
  </si>
  <si>
    <t>DİĞER İŞLER ve SOSYAL TESİS YAKIN KEŞİF LİSTESİ</t>
  </si>
  <si>
    <t>3x100 A KOMPAK ŞALTER 36 kA</t>
  </si>
  <si>
    <t>Otomatik Sigorta 1x6A 6kA B</t>
  </si>
  <si>
    <t>2.8.2.1</t>
  </si>
  <si>
    <t>2.8.2</t>
  </si>
  <si>
    <t>SOSYAL TESİS PANOSU</t>
  </si>
  <si>
    <t>22x58  63A Silindirik Sigorta Buşonu</t>
  </si>
  <si>
    <t>22x58 Sigorta Yuvası 3P</t>
  </si>
  <si>
    <t>Kaçak Akım Rölesi 4x25A 30mA A Tipi</t>
  </si>
  <si>
    <t>Kaçak Akım Rölesi 4x40A 30mA A Tipi</t>
  </si>
  <si>
    <t>Kaçak Akım Rölesi 2x25A 30mA A Tipi</t>
  </si>
  <si>
    <t>Otomatik Sigorta 1x16A 6kA C</t>
  </si>
  <si>
    <t>Otomatik Sigorta 3x16A 6kA C</t>
  </si>
  <si>
    <t>Otomatik Sigorta 1x6A 6kA C</t>
  </si>
  <si>
    <t>Otomatik Sigorta 1x25A 6kA C</t>
  </si>
  <si>
    <t>Otomatik Sigorta 3x32A 6kA C</t>
  </si>
  <si>
    <t>Otomatik Sigorta 3x25A 6kA C</t>
  </si>
  <si>
    <t>Otomatik Sigorta 1x10A 6kA C</t>
  </si>
  <si>
    <t>3X25A 1-0-2 PAKO ŞALTER</t>
  </si>
  <si>
    <t>3x9 A KONTAKTÖR 1NA+1NK</t>
  </si>
  <si>
    <t>3x18 A KONTAKTÖR 1NA+1NK</t>
  </si>
  <si>
    <t>MPX³ 32S TM 4-6A</t>
  </si>
  <si>
    <t>MPX³ Yard.Kont. yana 1NO1NC</t>
  </si>
  <si>
    <t>SİNYAL LAMBASI YEŞİL 220V LED</t>
  </si>
  <si>
    <t>SİNYAL LAMBASI KIRMIZI 220V LED</t>
  </si>
  <si>
    <t>2100x700x500mm Elektrik Panosu ve Montajı Pano içi tüm aksesuarlar,kaboolma,bara,dağıtım barası,yüksük,pabuçlar,izolatörler,ray kanallar dahil</t>
  </si>
  <si>
    <t>LEGRAND ABB SIEMENS SCHNEIDER</t>
  </si>
  <si>
    <t>SİGMA TORK MOMENTUM</t>
  </si>
  <si>
    <t>AR PANO ETİS FORMPAN DEVPAN</t>
  </si>
  <si>
    <t>2.8.2.2</t>
  </si>
  <si>
    <t>2.8.2.3</t>
  </si>
  <si>
    <t>2.8.2.4</t>
  </si>
  <si>
    <t>2.8.2.5</t>
  </si>
  <si>
    <t>2.8.2.6</t>
  </si>
  <si>
    <t>2.8.2.7</t>
  </si>
  <si>
    <t>2.8.2.8</t>
  </si>
  <si>
    <t>2.8.2.9</t>
  </si>
  <si>
    <t>2.8.2.10</t>
  </si>
  <si>
    <t>2.8.2.11</t>
  </si>
  <si>
    <t>2.8.2.12</t>
  </si>
  <si>
    <t>2.8.2.13</t>
  </si>
  <si>
    <t>2.8.2.14</t>
  </si>
  <si>
    <t>2.8.2.15</t>
  </si>
  <si>
    <t>2.8.2.16</t>
  </si>
  <si>
    <t>2.8.2.17</t>
  </si>
  <si>
    <t>2.8.2.18</t>
  </si>
  <si>
    <t>2.8.2.19</t>
  </si>
  <si>
    <t>2.8.2.20</t>
  </si>
  <si>
    <t>2.8.2.21</t>
  </si>
  <si>
    <t>2.8.2.22</t>
  </si>
  <si>
    <t>2.8.2.23</t>
  </si>
  <si>
    <t>2.8.2.24</t>
  </si>
  <si>
    <t>2.8.2.25</t>
  </si>
  <si>
    <t>2.8.2.26</t>
  </si>
  <si>
    <t>2.8.2.27</t>
  </si>
  <si>
    <t>2.8.2.28</t>
  </si>
  <si>
    <t>2.8.2.29</t>
  </si>
  <si>
    <t>2.8.2.30</t>
  </si>
  <si>
    <t>U-DP PANOSU</t>
  </si>
  <si>
    <t>Otomatik Sigorta 3x50A 6kA C</t>
  </si>
  <si>
    <t>3x40 A KOMPAK ŞALTER 36 kA</t>
  </si>
  <si>
    <t>PYK 10 MAVI</t>
  </si>
  <si>
    <t>1100x600x210mm Elektrik Panosu ve Montajı Pano içi tüm aksesuarlar,kaboolma,bara,dağıtım barası,yüksük,pabuçlar,izolatörler,ray kanallar dahil</t>
  </si>
  <si>
    <t>SİGMA.TORK MOMENTUM</t>
  </si>
  <si>
    <t>KRAUS EATON EMAS</t>
  </si>
  <si>
    <t>2.8.3</t>
  </si>
  <si>
    <t>2.8.4</t>
  </si>
  <si>
    <t>2.8.10</t>
  </si>
  <si>
    <t>2.8.3.1</t>
  </si>
  <si>
    <t>2.8.3.2</t>
  </si>
  <si>
    <t>2.8.3.3</t>
  </si>
  <si>
    <t>2.8.3.4</t>
  </si>
  <si>
    <t>2.8.3.5</t>
  </si>
  <si>
    <t>2.8.3.6</t>
  </si>
  <si>
    <t>2.8.3.7</t>
  </si>
  <si>
    <t>2.8.3.8</t>
  </si>
  <si>
    <t>2.8.3.9</t>
  </si>
  <si>
    <t>2.8.3.10</t>
  </si>
  <si>
    <t>2.8.3.11</t>
  </si>
  <si>
    <t>2.8.3.12</t>
  </si>
  <si>
    <t>2.8.3.13</t>
  </si>
  <si>
    <t>2.8.3.14</t>
  </si>
  <si>
    <t>2.8.3.15</t>
  </si>
  <si>
    <t>24-Port Gigabit L2 Managed POE Switch, 24 Gigabit RJ45 POE/POE+ Ports, 4 SFP Slots, 370W PoE power budget, 19-inch Rack-mountable Stell Case</t>
  </si>
  <si>
    <t>AC power module, 150W power budget, for RG-S5750C-48SFP4XS-H</t>
  </si>
  <si>
    <t xml:space="preserve">1310 nm SM 1000Base-LX SFP modül (10 km), -40℃～+85℃ </t>
  </si>
  <si>
    <t>CAT6 UTP PATCH PANEL BOŞ 24 Port</t>
  </si>
  <si>
    <t>CAT6 UTP PATCH CORD 1M</t>
  </si>
  <si>
    <t>1 PORT OFİS BOX</t>
  </si>
  <si>
    <t>EK KASET 12P.</t>
  </si>
  <si>
    <t>SM SC FO. PIGTAIL</t>
  </si>
  <si>
    <t>SM SC/LC FO. PATCH CORD 1M</t>
  </si>
  <si>
    <t>12U 60X60 DUVAR TİP KABİN (2Lİ FAN, SABİT RAF, 6LI PDU, YATAY ORG. DAHİL)</t>
  </si>
  <si>
    <t>Mühendislik ve Devreye Alma</t>
  </si>
  <si>
    <t>Wi-Fi 6 dual-band Gigabit ceiling mount AP, dual Gigabit LAN uplink ports, built-in antennas, dual-band 2.4GHz/5GHz, 802.11ax, 
802.11ac wave2/wave1, up to 1775Mbps access rate per AP; support AP and routing mode, Layer 3 roaming, networking; Local power supply, DC 12V/1.5A 802.3at PoE</t>
  </si>
  <si>
    <t>SOSYAL TESİS DATA SİSTEMİ</t>
  </si>
  <si>
    <t>2.8.4.1</t>
  </si>
  <si>
    <t>2.8.4.2</t>
  </si>
  <si>
    <t>2.8.4.3</t>
  </si>
  <si>
    <t>2.8.4.4</t>
  </si>
  <si>
    <t>2.8.4.5</t>
  </si>
  <si>
    <t>2.8.4.6</t>
  </si>
  <si>
    <t>2.8.4.7</t>
  </si>
  <si>
    <t>2.8.4.8</t>
  </si>
  <si>
    <t>2.8.4.9</t>
  </si>
  <si>
    <t>2.8.4.10</t>
  </si>
  <si>
    <t>2.8.4.11</t>
  </si>
  <si>
    <t>2.8.4.12</t>
  </si>
  <si>
    <t>2.8.4.13</t>
  </si>
  <si>
    <t>2.8.4.14</t>
  </si>
  <si>
    <t>2.8.4.15</t>
  </si>
  <si>
    <t>IP Harici Bullet Kamera. 4MP, Vari-Focal Lensli, 30mt. IR (Harici),kamera montaj buatı dahil</t>
  </si>
  <si>
    <t>IP Dome Kamera. 2MP, Varifocal Lensli, 30mt. IR</t>
  </si>
  <si>
    <t>IP Dahili Bullet Kamera. 2MP, Vari-Focal Lensli, 30mt. IR (Dahili)</t>
  </si>
  <si>
    <t>4K Network Kayıt Cihazı, 16 Kanal, 8 Sata kapasiteli
H.265+/H.265/H.264+/H.264/MPEG4, 2 x HDMI (4K, 2K, 1080p çıkış desteği), 2xVGA desteği (2K, 1080p desteği),  2x Ses çıkışı, 8xSATA, RAID 0,1,5,6,10, 2U</t>
  </si>
  <si>
    <t>6TB HDD</t>
  </si>
  <si>
    <t>22" izleme monitörü, HDMI</t>
  </si>
  <si>
    <t>Askı aparatı ve HDMI kablo</t>
  </si>
  <si>
    <t xml:space="preserve">Fiber Optik Patch Panel 12 Port SC Dupleks Rack Tipi </t>
  </si>
  <si>
    <t>Fiber Optik Sonlandırma Aksesuar</t>
  </si>
  <si>
    <t>Cat6 Data Patch Panel  8 PORT</t>
  </si>
  <si>
    <t>Fiber Optik Patch Cord(1 M)</t>
  </si>
  <si>
    <t>Keystone Jack</t>
  </si>
  <si>
    <t>Patch Cord 0,5 cm</t>
  </si>
  <si>
    <t xml:space="preserve">7U 19" (600x600)mm Duvar Tip Outdoor Rack Kabinet ,2 li Termostatlı Fan,Yatay Organizer,6 lı Sigortalı Priz Grubu </t>
  </si>
  <si>
    <t>24-port gigabit +4x1GB SFP UPLINK  370W POE Yönetilebilir Racmount</t>
  </si>
  <si>
    <t xml:space="preserve">12U 19" (600x600)mm Duvar Tip Rack Kabinet ,2 li Termostatlı Fan,Yatay Organizer,6 lı Sigortalı Priz Grubu </t>
  </si>
  <si>
    <t>HIKVISION DAHUA LG BOSCH GE SENSORMATİC</t>
  </si>
  <si>
    <t>SEAGATE</t>
  </si>
  <si>
    <t>DELL HP</t>
  </si>
  <si>
    <t>TSE CE</t>
  </si>
  <si>
    <t xml:space="preserve">RUIJIE </t>
  </si>
  <si>
    <t>CANOVATE</t>
  </si>
  <si>
    <t>ESTAP LANDE FORMRACK</t>
  </si>
  <si>
    <t>RUIJIE</t>
  </si>
  <si>
    <t>RUIIJIE</t>
  </si>
  <si>
    <t>2.8.5</t>
  </si>
  <si>
    <t>2.8.5.1</t>
  </si>
  <si>
    <t>2.8.5.2</t>
  </si>
  <si>
    <t>2.8.5.3</t>
  </si>
  <si>
    <t>2.8.5.4</t>
  </si>
  <si>
    <t>2.8.5.5</t>
  </si>
  <si>
    <t>2.8.5.6</t>
  </si>
  <si>
    <t>2.8.5.7</t>
  </si>
  <si>
    <t>2.8.5.8</t>
  </si>
  <si>
    <t>2.8.5.9</t>
  </si>
  <si>
    <t>2.8.5.10</t>
  </si>
  <si>
    <t>2.8.5.11</t>
  </si>
  <si>
    <t>2.8.5.12</t>
  </si>
  <si>
    <t>2.8.5.13</t>
  </si>
  <si>
    <t>2.8.5.14</t>
  </si>
  <si>
    <t>2.8.5.15</t>
  </si>
  <si>
    <t>2.8.5.16</t>
  </si>
  <si>
    <t>2.8.5.17</t>
  </si>
  <si>
    <t>2.8.5.18</t>
  </si>
  <si>
    <t>2.8.5.19</t>
  </si>
  <si>
    <t>2.8.5.20</t>
  </si>
  <si>
    <t>2.8.6</t>
  </si>
  <si>
    <t>Preamplifikatör ve Mikser Modülü</t>
  </si>
  <si>
    <t>Anons Kontrol Modülü 5 zone</t>
  </si>
  <si>
    <t>Dijital Emergency Modül</t>
  </si>
  <si>
    <t>200W Power Amplifikatör</t>
  </si>
  <si>
    <t>Power Supervizyon Panel</t>
  </si>
  <si>
    <t>Konsol 6 Modül</t>
  </si>
  <si>
    <t>10W Sıvaaltı 100V Hoparlör özel renk kodlu Yangın Koruma Hücreli</t>
  </si>
  <si>
    <t>10W Bölgesel Ayar Paneli+3 Kanal Seçici</t>
  </si>
  <si>
    <t>20W Bölgesel Ayar Paneli+3 Kanal Seçici</t>
  </si>
  <si>
    <t>Test ve Devreye Alma Hizmetleri</t>
  </si>
  <si>
    <t xml:space="preserve"> BOSCH ESSER BY HONEYWELL EATON 4EVAC TOA TYCO</t>
  </si>
  <si>
    <t>12U Duvari Tip Rack Kabinet (2li, FAN, SABİT RAF, 6LI PDU, YATAY ORG. DAHİL)</t>
  </si>
  <si>
    <t>2.8.6.1</t>
  </si>
  <si>
    <t>2.8.6.2</t>
  </si>
  <si>
    <t>2.8.6.3</t>
  </si>
  <si>
    <t>2.8.6.4</t>
  </si>
  <si>
    <t>2.8.6.5</t>
  </si>
  <si>
    <t>2.8.6.6</t>
  </si>
  <si>
    <t>2.8.6.7</t>
  </si>
  <si>
    <t>2.8.6.8</t>
  </si>
  <si>
    <t>2.8.6.9</t>
  </si>
  <si>
    <t>2.8.6.10</t>
  </si>
  <si>
    <t>2.8.6.11</t>
  </si>
  <si>
    <t>2.8.6.12</t>
  </si>
  <si>
    <t>2.8.7</t>
  </si>
  <si>
    <t>Sosyal tesis altypaı kablo ve borulama işleri için üst satırdaki malzeme açıklamaları kullanılacaktır.</t>
  </si>
  <si>
    <t xml:space="preserve">Multiswitch, Sonlu, 10x32 çıkış, DiSEqC 2.0 TV, aktif karasal TV </t>
  </si>
  <si>
    <t>Sıkmalı erkek F konektör RG6, çap 7.0 mm</t>
  </si>
  <si>
    <t>Sıkmalı erkek F konektör RG11, çap 10.0-10.4 mm</t>
  </si>
  <si>
    <t>Pano, taban saclı (60x120x20cm)+Grup priz</t>
  </si>
  <si>
    <t>TEKNİKSAT</t>
  </si>
  <si>
    <t>100cm çanak anten+ayak+lnb</t>
  </si>
  <si>
    <t>2.8.7.1</t>
  </si>
  <si>
    <t>2.8.7.2</t>
  </si>
  <si>
    <t>2.8.7.3</t>
  </si>
  <si>
    <t>2.8.7.4</t>
  </si>
  <si>
    <t>2.8.7.5</t>
  </si>
  <si>
    <t>2.8.7.6</t>
  </si>
  <si>
    <t>2.8.7.7</t>
  </si>
  <si>
    <t>2.8.8</t>
  </si>
  <si>
    <t>ACCESS SİSTEMİ</t>
  </si>
  <si>
    <t>Access Kontrol IP Ana Paneli- 8 reader-1 bus aküler dahil</t>
  </si>
  <si>
    <t>EXIT Butonu Metal</t>
  </si>
  <si>
    <t xml:space="preserve">Manyetik Kontak </t>
  </si>
  <si>
    <t>Elektrikli Kilit Karşılığı</t>
  </si>
  <si>
    <t>Manyetik Kapı Tutucu-Kilit  (500kg)</t>
  </si>
  <si>
    <t>Mifare Kart Okuyucu 13.56 MHz IP65, IK10 vandal-proof -kare-iç alan</t>
  </si>
  <si>
    <t>Mifare Kart -baskısız</t>
  </si>
  <si>
    <t>Access Kontrol 2 Kapı Kontrol Paneli (2 kapı veya tek kapı iki reader)</t>
  </si>
  <si>
    <t>Test Devreye Alma Süpervizyon Bedeli-Access Sistemleri</t>
  </si>
  <si>
    <t xml:space="preserve">HIKVISION DAHUA TYCO MEYER </t>
  </si>
  <si>
    <t>2.8.8.1</t>
  </si>
  <si>
    <t>2.8.8.2</t>
  </si>
  <si>
    <t>2.8.8.3</t>
  </si>
  <si>
    <t>2.8.8.4</t>
  </si>
  <si>
    <t>2.8.8.5</t>
  </si>
  <si>
    <t>2.8.8.6</t>
  </si>
  <si>
    <t>2.8.8.7</t>
  </si>
  <si>
    <t>2.8.8.8</t>
  </si>
  <si>
    <t>2.8.8.9</t>
  </si>
  <si>
    <t>Donatılabilir Döşeme Prizi Tekli Yuvarlak Ip44</t>
  </si>
  <si>
    <t>Trio 360° Tavan Tipi Sıvaaltı Hareket Sensörü – 10465 (Üç Gözlü)</t>
  </si>
  <si>
    <t>360° Tavan Tipi Spot Sıvaaltı Hareket Sensörü – 10365 Mini</t>
  </si>
  <si>
    <t>Trio 360° Tavan Tipi Sıvaüstü Hareket Sensörü – 10463 (Üç Gözlü)</t>
  </si>
  <si>
    <t>KESİNTİSİZ GÜÇ KAYNAĞI</t>
  </si>
  <si>
    <t>6kVA 10 dk online 1/1 UPS-Test ve devreye alma dahil</t>
  </si>
  <si>
    <t>2.8.10.1</t>
  </si>
  <si>
    <t>MAKELSAN INFORM ENEL</t>
  </si>
  <si>
    <t>2.8.9.1</t>
  </si>
  <si>
    <t>2.8.9.2</t>
  </si>
  <si>
    <t>2.8.9.3</t>
  </si>
  <si>
    <t>2.8.9.4</t>
  </si>
  <si>
    <t>2.8.9.5</t>
  </si>
  <si>
    <t>2.8.9.6</t>
  </si>
  <si>
    <t>NADE STEINEL</t>
  </si>
  <si>
    <t>1x6A B Tipi Otomatik Sigorta 6kA</t>
  </si>
  <si>
    <t>Sinyal Lambası</t>
  </si>
  <si>
    <t>29.12</t>
  </si>
  <si>
    <t>29.12.1</t>
  </si>
  <si>
    <t>29.12.2</t>
  </si>
  <si>
    <t>29.12.3</t>
  </si>
  <si>
    <t>29.12.4</t>
  </si>
  <si>
    <t>29.12.5</t>
  </si>
  <si>
    <t>3x250A Manyetik Şalter - 36kA</t>
  </si>
  <si>
    <t>110V DC Tel Kafesli Armatür</t>
  </si>
  <si>
    <t>Dikili tip panolarda odaya panolar yerleşecek şekilde gerekirse L Tipi olarak imalat yapılacaktır.Pano birim fiyatına dahildir.
Panoların yükseltilmiş kaideleri pano ral kodu ile aynı olacak şekilde sac ile kaplama yapılarak boşlukların gözükmemesi sağlanacaktır.
Pano ölçüleri yakın metraj olarak belirtilmiştir.Pano ölçülerinde oluşacak değişikliklerde pano en ve boy uzunluğu baz alınarak m2 hesabı üzerinden birim fiyatı değiştirilecektir.</t>
  </si>
  <si>
    <t>ENTES</t>
  </si>
  <si>
    <t>ABB</t>
  </si>
  <si>
    <t>PYK 16 GRI-Tümü 1 set</t>
  </si>
  <si>
    <t>KD 4 GRI / VİDASIZ DURDURUCU-Tümü 1 set</t>
  </si>
  <si>
    <t>Kg</t>
  </si>
  <si>
    <t xml:space="preserve">BAKIR BARA ELEKTROLİTİK(Onaylı proje bara kesitleirne göre) </t>
  </si>
  <si>
    <t>WAGO KLEMSAN-Tüm grup 1 set</t>
  </si>
  <si>
    <t>CITEL LEGRAND OBO</t>
  </si>
  <si>
    <t>GAWE SIGMA</t>
  </si>
  <si>
    <t>Panolar Lokal ve Form2b olacaktır.</t>
  </si>
  <si>
    <t>1200x600x200mm DUVAR TİPİ PANO VE MONTAJI Lokal Pano</t>
  </si>
  <si>
    <t>1000x700x200mm DUVAR TİPİ PANO VE MONTAJI Lokal Pano</t>
  </si>
  <si>
    <t>500x400x200mm DUVAR TİPİ PANO VE MONTAJI Lokal Pano</t>
  </si>
  <si>
    <t>800x600x200mm DUVAR TİPİ PANO VE MONTAJI Lokal Pano</t>
  </si>
  <si>
    <t>800x500x200mm DUVAR TİPİ PANO VE MONTAJI Lokal Pano</t>
  </si>
  <si>
    <t>600x500x200mm DUVAR TİPİ PANO VE MONTAJI Lokal Pano</t>
  </si>
  <si>
    <t>900x600x200mm DUVAR TİPİ PANO VE MONTAJI Lokal Pano</t>
  </si>
  <si>
    <t>900x700x200mm DUVAR TİPİ PANO VE MONTAJI Lokal Pano</t>
  </si>
  <si>
    <t>1250x900x200mm DUVAR TİPİ PANO VE MONTAJI Lokal Pano</t>
  </si>
  <si>
    <t>500x400x200mm DUVAR TİPİ PANO VE MONTAJILokal Pano</t>
  </si>
  <si>
    <t>2100x2000x700mm DİKİLİ TİP PANO VE MONTAJI Lokal Pano</t>
  </si>
  <si>
    <t>2100x2500x700mm DİKİLİ TİP PANO VE MONTAJI Lokal Pano</t>
  </si>
  <si>
    <t>2100x1200x700mm DİKİLİ TİP PANO VE MONTAJI Lokal Pano</t>
  </si>
  <si>
    <t>2100x6115x600mm DİKİLİ TİP PANO VE MONTAJI-Oda içinde L tipi olarak dizaynı yapılacaktır. Lokal Pano</t>
  </si>
  <si>
    <t>2100x5100x600mm DİKİLİ TİP PANO VE MONTAJI-Oda içinde L tipi olarak dizaynı yapılacaktır. Lokal Pano</t>
  </si>
  <si>
    <t>2100x5140x700mm DİKİLİ TİP PANO VE MONTAJI-Oda içinde L tipi olarak dizaynı yapılacaktır.Lokal Pano</t>
  </si>
  <si>
    <t>2100x4205x600mm DİKİLİ TİP PANO VE MONTAJI-Oda içinde L tipi olarak dizaynı yapılacaktır.Lokal Pano</t>
  </si>
  <si>
    <t>700x500x200mm ZAYIF AKIM BÖLMELİ DUVAR TİPİ PANO VE MONTAJI Lokal Pano</t>
  </si>
  <si>
    <t>800x600x250mm ZAYIF AKIM BÖLMELİ DUVAR TİPİ PANO VE MONTAJI Lokal Pano</t>
  </si>
  <si>
    <t>Pano Saç Aksamı  (bara, bara tutucu,kablo pabucu,kablo kanalı v.b pano malzeme montajı için gerekli ,  her nevi sarf malzeme dahildir.) Lokal Pano</t>
  </si>
  <si>
    <t>Pano Saç Aksamı  Standart ölçü TSE normlu (bara, bara tutucu,kablo pabucu,kablo kanalı v.b pano malzeme montajı için gerekli ,  her nevi sarf malzeme dahildir.)Lokal Pano</t>
  </si>
  <si>
    <t>PANOLAR ALT TOPLAM</t>
  </si>
  <si>
    <t xml:space="preserve">KUVVETLİ AKIM KABLOLARI
Özel Teknik Şartnamede tarif edildiği şekilde; ilgili Standartlarda ve özelliklerde kabloların, numaratör, etiket, kablo pabucu, yüksüğü vb.  her türlü montaj malzemeleri ve işçilik dahil boru yada kablo kanallarına çekilmiş halde teslimi. </t>
  </si>
  <si>
    <t>2.8.11</t>
  </si>
  <si>
    <t>ARMATÜR MONTAJLARI</t>
  </si>
  <si>
    <t>Sıva Altı Led Spot Montajı</t>
  </si>
  <si>
    <t>Magnet Kanal ve Led Montajı</t>
  </si>
  <si>
    <t>Sarkıt Armatür Montajı</t>
  </si>
  <si>
    <t>Profil çubuk led /Led Şerit montajı(trafo dahil)</t>
  </si>
  <si>
    <t>Aplik Armatür Montajı</t>
  </si>
  <si>
    <t>Silindirik Sıva Üzeri Armatür Montajı</t>
  </si>
  <si>
    <t>Lineer Armatür Montajı SA/SÜ</t>
  </si>
  <si>
    <t>2.8.11.1</t>
  </si>
  <si>
    <t>2.8.11.2</t>
  </si>
  <si>
    <t>2.8.11.3</t>
  </si>
  <si>
    <t>2.8.11.4</t>
  </si>
  <si>
    <t>2.8.11.5</t>
  </si>
  <si>
    <t>2.8.11.6</t>
  </si>
  <si>
    <t>2.8.11.7</t>
  </si>
  <si>
    <t>2.8.11.8</t>
  </si>
  <si>
    <t>Sıva üzeri spot armatür montajı</t>
  </si>
  <si>
    <t>DİĞER İŞLER ve SOSYAL TESİS YAKIN KEŞİF LİSTESİ ALT TOPLAM</t>
  </si>
  <si>
    <t>DİĞER İŞLER ve SOSYAL TESİS YAKIN KEŞİF</t>
  </si>
  <si>
    <t>ÇIKIŞ KUTUSU ŞALTERLERİ</t>
  </si>
  <si>
    <t>AR ETİS FORMPAN BORA GMS GÜL YEKPA PROTECH</t>
  </si>
  <si>
    <t>2.8.7.8</t>
  </si>
  <si>
    <t>TV+Duvar aparatı Montajı</t>
  </si>
  <si>
    <t>10-60 cm genişlikte Sicak daldırma , köşe,redüksiyon, aşağı yukarı dönüş elemanı, T ve ek parçaları dahil, galvanizle kaplanması, araları 1,5m'yi geçmeyecek şekilde yerine tesbiti, tesbit için gerekli duvar ya da tavan konsol, askı elemanı, her türlü cıvata, vida, dubel, somun,askı destek ve aksesuarlar dahil, rondela, mesnet dahil olmak üzere kablo çekimine hazır halde teslimi.Orjinal tava aksesuarları kullanılacaktır.Kanal kesim yerleri galvaniz sprey boya ile boyanacaktır.Kanal sonlandırma elemanları fiyata dahildir.</t>
  </si>
  <si>
    <t>DÜKKAN PANOLARI-3/4/23/25/26/27/32/35/59/60/89/95/97/98/99/100/101/111/119/131/132/133/134/135</t>
  </si>
  <si>
    <t>DÜKKAN PANOLARI-2/33/70/71/78/79/113</t>
  </si>
  <si>
    <t>DÜKKAN PANOLARI -1/14/16/24/29/30/31/58/63/80/83/117</t>
  </si>
  <si>
    <t>DÜKKAN PANOLARI -5/11/19/22/28/43/44/46/49/51/52/54/55/56/57/62/64/65/66/67/68/72/73/74/75/76/77/81/82/84/85/86/87/88/91/94/96/104/105/
106/107/108/109/110/112/114/115/116/118/120/121/122/123/125/126/128/129</t>
  </si>
  <si>
    <t>DÜKKAN PANOLARI-6/7/8/9/10/12/13/15/17/18/45/47/48/50/61/90/103/124/127/130</t>
  </si>
  <si>
    <t>DÜKKAN PANOLARI -20/21/36/38/40/41/42/53</t>
  </si>
  <si>
    <t>DÜKKAN PANOLARI-34/39</t>
  </si>
  <si>
    <t>DÜKKAN PANOLARI-37</t>
  </si>
  <si>
    <t>DÜKKAN PANOLARI -69/102</t>
  </si>
  <si>
    <t>ASP-1 - ASP-2 Asansör Panosu-1-2 temini, yerine montajı ve nakliye işleri  LOKAL PANO</t>
  </si>
  <si>
    <t>YANGIN POMPA TRANSFER PANOSU</t>
  </si>
  <si>
    <t>2.8.9</t>
  </si>
  <si>
    <t>2.8.9.7</t>
  </si>
  <si>
    <t>2.8.9.8</t>
  </si>
  <si>
    <t>2.8.9.9</t>
  </si>
  <si>
    <t>2.8.9.10</t>
  </si>
  <si>
    <t>2.8.9.11</t>
  </si>
  <si>
    <t>2.8.9.12</t>
  </si>
  <si>
    <t>2.8.9.13</t>
  </si>
  <si>
    <t>2.8.9.14</t>
  </si>
  <si>
    <t>2.8.9.15</t>
  </si>
  <si>
    <t>2.8.9.16</t>
  </si>
  <si>
    <t>2.8.9.17</t>
  </si>
  <si>
    <t>2.8.9.18</t>
  </si>
  <si>
    <t>2.8.9.19</t>
  </si>
  <si>
    <t>2.8.9.20</t>
  </si>
  <si>
    <t>2.8.9.21</t>
  </si>
  <si>
    <t>2.8.9.22</t>
  </si>
  <si>
    <t>40x40x25cm taban sacli modüler pano (Dükkan Zayıf Akım Modülleri için) sigorta ray ve klemensler dahil</t>
  </si>
  <si>
    <t>KXA 30504-B-P11-3200 A-BOLT-ON-PANO ÇIKIŞ-4W(R=RAL7038)</t>
  </si>
  <si>
    <t>KXA 30504-B-R-3200 A-BOLT-ON-SAĞA DÖNÜŞ-4W(R=RAL7038)</t>
  </si>
  <si>
    <t>KXA 30504-B-L-3200 A-BOLT-ON-SOLA DÖNÜŞ-4W(R=RAL7038)</t>
  </si>
  <si>
    <t>KXA 30504-B-D-3200 A-BOLT-ON-AŞAĞI DÖNÜŞ-4W(R=RAL7038)</t>
  </si>
  <si>
    <t>KXA 30504-B-U-3200 A-BOLT-ON-YUKARI DÖNÜŞ-4W(R=RAL7038)</t>
  </si>
  <si>
    <t>KXA 30504-B-DDT-3200 A-BOLT-ON-DİKEY DİLATASYON-4W(R=RAL7038, X=1000
mm)</t>
  </si>
  <si>
    <t>KXA 30504-B-FDM-3200 A-BOLT-ON-FAZ DEĞİŞTİRME MODÜLÜ-4W(R=RAL7038)</t>
  </si>
  <si>
    <t>KXA 30504-B-YDT-3200 A-BOLT-ON-YATAY DİLATASYON-4W(R=RAL7038)</t>
  </si>
  <si>
    <t>KXA 30504-B-STD 3200 A-BOLT-ON-DÜZBOY BUSBAR-4W(R=RAL7038)</t>
  </si>
  <si>
    <t>KXA 30504-B-X-3200 A-BOLT-ON-ARABOY BUSBAR-4W(R=RAL7038, X=1000
Adet=18)</t>
  </si>
  <si>
    <t>KXA 30504-B-P10-3200 A-BOLT-ON-PANO GİRİŞ-4W(R=RAL7038)</t>
  </si>
  <si>
    <t>BB-1 KXA 30504 3200A AL 4W IP55</t>
  </si>
  <si>
    <t>BB-2 KXA 30504 3200A AL 4W IP55</t>
  </si>
  <si>
    <t>KXA 30504-B-STD-3200 A-BOLT-ON-DÜZBOY BUSBAR-4W(R=RAL7038)</t>
  </si>
  <si>
    <t>KXA 30504-B-X-3200 A-BOLT-ON-ARABOY BUSBAR-4W(R=RAL7038, X=1000
Adet=12)</t>
  </si>
  <si>
    <t>KXA 30504-B-X-3200 A-BOLT-ON-ARABOY BUSBAR-4W(R=RAL7038, X=2000
Adet=1)</t>
  </si>
  <si>
    <t>4x1600-2000A 36kA Kompakt Şalter Açık tip</t>
  </si>
  <si>
    <t>4x1250A 36kA Kompakt Şalter Açık Tip</t>
  </si>
  <si>
    <t>4x2000-2500A 36kA Kompakt Şalter Açık tip-Trafo ile Trafo Panosu araları busbar imalatı onay alınırsa yapılacaktır.Kablolu yapılacaksa imalat yapılmayacaktır.</t>
  </si>
  <si>
    <t>Manyetik Şalter 3P 800A 36kA</t>
  </si>
  <si>
    <t>4P 1600-2000A 36kA Açık Tip</t>
  </si>
  <si>
    <t>3x63A AOS 10kA</t>
  </si>
  <si>
    <t>DX³ KAKR 4P 80A 30mA A tipi</t>
  </si>
  <si>
    <t>XC10 4P 63A 30MA A tip</t>
  </si>
  <si>
    <t>XC10 4P 25A 30MA  A tip</t>
  </si>
  <si>
    <t>XC10 4P 40A 30MA A tip</t>
  </si>
  <si>
    <t>XC10 4P 25A 30MA A tip</t>
  </si>
  <si>
    <t>XC10 2P 25A 30MA A tip</t>
  </si>
  <si>
    <t>XC10 4P 40A  30MA A tip</t>
  </si>
  <si>
    <t>Açtırma Bobini</t>
  </si>
  <si>
    <t>19.29</t>
  </si>
  <si>
    <t>XC10 4P 40A 30MA AC</t>
  </si>
  <si>
    <t>XC10 4P 25A 30MA AC</t>
  </si>
  <si>
    <t>XC10 2P 25A 30MA AC</t>
  </si>
  <si>
    <t xml:space="preserve">XC10 4P 63A A 300MA </t>
  </si>
  <si>
    <t xml:space="preserve">XC10 4P 40A A 300MA </t>
  </si>
  <si>
    <t>XC10 4P 63A A 300MA</t>
  </si>
  <si>
    <t>DX³ KAK 4P A 80A 300mA</t>
  </si>
  <si>
    <t>4x80A 30mA KAKR A</t>
  </si>
  <si>
    <t>4x63A 30mA KAKR A</t>
  </si>
  <si>
    <t>4x40A 30mA KAKR A</t>
  </si>
  <si>
    <t>4x100A 30mA KAKR A</t>
  </si>
  <si>
    <t>4x250A ATS (Automatic Transfer Switch)+tüm aksesuarlar</t>
  </si>
  <si>
    <t>4B.OP1/4B.UPS1 Panosu</t>
  </si>
  <si>
    <t>AS.DP Panosu</t>
  </si>
  <si>
    <t>AS.UDP Panosu</t>
  </si>
  <si>
    <t>4B.OP2 Panosu</t>
  </si>
  <si>
    <t>3B.OP1/3B.UPS1 Panosu</t>
  </si>
  <si>
    <t>3B.OP2 Panosu</t>
  </si>
  <si>
    <t>ÇK.MCC Panosu</t>
  </si>
  <si>
    <t>ÇK.YMCC Panosu</t>
  </si>
  <si>
    <t>ZK.GUV.DP Panosu</t>
  </si>
  <si>
    <t>BK.GUV.DP Panosu</t>
  </si>
  <si>
    <t>ZK.GUV.UDP Panosu</t>
  </si>
  <si>
    <t>BK.GUV.UDP Panosu</t>
  </si>
  <si>
    <t>ÇAP1 Panosu</t>
  </si>
  <si>
    <t>ÇAP2 Panosu</t>
  </si>
  <si>
    <t>1K.OMP/1K.UPS1 Panosu</t>
  </si>
  <si>
    <t>ZK.OMP/ZK.UPS1 Panosu</t>
  </si>
  <si>
    <t>1B.OMP/1B.UPS1 Panosu</t>
  </si>
  <si>
    <t>2B.OMP/2B.UPS1 Panosu</t>
  </si>
  <si>
    <t>KZN-MCC Panosu</t>
  </si>
  <si>
    <t>UDP Panosu</t>
  </si>
  <si>
    <t>4B.UPS2 Panosu</t>
  </si>
  <si>
    <t>Y.ADP Panosu</t>
  </si>
  <si>
    <t>G.ADP Panosu</t>
  </si>
  <si>
    <t>KOMP. PANOSU Panosu</t>
  </si>
  <si>
    <t>2B.SADP Panosu</t>
  </si>
  <si>
    <t>1B.SADP Panosu</t>
  </si>
  <si>
    <t>ZK.SADP Panosu</t>
  </si>
  <si>
    <t>1K.SADP Panosu</t>
  </si>
  <si>
    <t>MEKANİK OTOMASYON İŞLERİ KABLOLAMASI</t>
  </si>
  <si>
    <t>POZ
NUMARASI</t>
  </si>
  <si>
    <t>BB-3 KXA 30504 3200A AL 4W IP55</t>
  </si>
  <si>
    <t>Mekanik cihaz uç bağlantıları kablo birim fiyatlarına dahildir.</t>
  </si>
  <si>
    <t>4x2.5 mm2 KURŞUNSUZ PVC İZOL.KABLO.BESLEME HATTI (NHXMH)</t>
  </si>
  <si>
    <t>IP CCTV SİSTEMİ-SOSYAL TESİS</t>
  </si>
  <si>
    <t>SESLENDİRME ve ACİL ANONS SİSTEMİ -SOSYAL TESİS</t>
  </si>
  <si>
    <t>2100x600x200mm DUVAR TİPİ PANO VE MONTAJILokal Pano Harici Tip</t>
  </si>
  <si>
    <t>RTX³ termik röle 1A - 1,6A arası (CTX³ 22/40 kontaktör için)</t>
  </si>
  <si>
    <t>A-SARJ-DP</t>
  </si>
  <si>
    <t>3x160A 36kA TMŞ</t>
  </si>
  <si>
    <t>3x32A 10kA W Otomat</t>
  </si>
  <si>
    <t>4x40A 30mA Kaçak Akım Koruma Rölesi A Tip</t>
  </si>
  <si>
    <t>1400x600x400mm Yer Tipi Harici Pano</t>
  </si>
  <si>
    <t>29.12.6</t>
  </si>
  <si>
    <t>29.12.7</t>
  </si>
  <si>
    <t>29.12.8</t>
  </si>
  <si>
    <t>29.12.9</t>
  </si>
  <si>
    <t>29.12.10</t>
  </si>
  <si>
    <t>29.13</t>
  </si>
  <si>
    <t>29.13.1</t>
  </si>
  <si>
    <t>29.13.2</t>
  </si>
  <si>
    <t>29.13.3</t>
  </si>
  <si>
    <t>29.13.4</t>
  </si>
  <si>
    <t>29.13.5</t>
  </si>
  <si>
    <t>40x40cm Plastik Rogar+Kompozit Kapak</t>
  </si>
  <si>
    <t>40x40cm Beton Rogar+Beton Kapak</t>
  </si>
  <si>
    <t>55-75W 10000lümen 4000K RVL YÜKSEK TAVAN LED AYDINLATMA ARMATÜRÜ IP65,90-105cm IK08  Ekstrüzyon Alüminyum profil gövde ve PC yan kapak,10345lm,Yüksek reflektanslı PC reflektör,Güvenlik filmli temperli cam,Mid Power Ledli PMMA Optik Lens CRI ≥ 80</t>
  </si>
  <si>
    <t>55-75W 10000lümen 3 saat acil aydınlatma kitli 4000K RVL YÜKSEK TAVAN LED AYDINLATMA ARMATÜRÜ IP65 90-105cm IK08  Ekstrüzyon Alüminyum profil gövde ve PC yan kapak,10345lm,Yüksek reflektanslı PC reflektör,Güvenlik filmli temperli cam,Mid Power Ledli PMMA Optik Lens CRI ≥ 80</t>
  </si>
  <si>
    <t>KOMPONENTLER MARKA LİSTESİ
LEDLER SAMSUNG/OSRAM/PHILIPS/CREE 
SÜRÜCÜLER OSRAM/PHILIPS/TRIDONIC/LIFUD/EAGLERİSE
ACİL AYDINLATMA KİTLER:BEŞA/ALTEZ</t>
  </si>
  <si>
    <t>1000x600x200mm DUVAR TİPİ PANO VE MONTAJILokal Pano Harici</t>
  </si>
  <si>
    <t>700x500x200mm DUVAR TİPİ PANO VE MONTAJI Lokal Pano Harici</t>
  </si>
  <si>
    <t>*Sürücü montajları dahil.</t>
  </si>
  <si>
    <t>İŞVEREN ALIMI</t>
  </si>
  <si>
    <t>İŞVEREN</t>
  </si>
  <si>
    <t>Sıva altı dekoratif normal anahtar-Renkli Seri</t>
  </si>
  <si>
    <t>Sıva altı dekoratif Vavien aanahtar -Renkli Seri</t>
  </si>
  <si>
    <t>Sıva altı dekoratif Ara Vavien anahtar -Renkli Seri</t>
  </si>
  <si>
    <t>Sıva altı dekoratif Komütatör anahtar -Renkli Seri</t>
  </si>
  <si>
    <t>Sıva altı dekoratif Light anahtar -Renkli Seri</t>
  </si>
  <si>
    <t>Etanj Normal AnahtarD1588:D1594</t>
  </si>
  <si>
    <t>Sıva Altı Monofaze Topraklı Priz-Renkli Seri</t>
  </si>
  <si>
    <t>Sıva Altı Kapaklı Monofaze Topraklı Priz-Renkli Seri</t>
  </si>
  <si>
    <t>Push Buton Light Anahtar-Renkli Seri</t>
  </si>
  <si>
    <t>Sıva Altı TV Sat Prizi-Renkli Seri</t>
  </si>
  <si>
    <t>Sıva altı dekoratif normal anahtar -Renkli Seri</t>
  </si>
  <si>
    <t>Sıva altı dekoratif Vavien anahtar -Renkli Seri</t>
  </si>
  <si>
    <t>2'li Sıva Altı Monofaze Topraklı Priz-Renkli Seri</t>
  </si>
  <si>
    <t>2'li Sıva Altı Monofaze UPS Prizi-Renkli Seri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</si>
</sst>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168" formatCode="_-* #,##0.00\ _F_-;\-* #,##0.00\ _F_-;_-* \-??\ _F_-;_-@_-"/>
    <numFmt numFmtId="169" formatCode="_-* #,##0\ _F_-;\-* #,##0\ _F_-;_-* &quot;- &quot;_F_-;_-@_-"/>
    <numFmt numFmtId="170" formatCode="_-* #,##0&quot; TL&quot;_-;\-* #,##0&quot; TL&quot;_-;_-* &quot;- TL&quot;_-;_-@_-"/>
    <numFmt numFmtId="171" formatCode="0.000%"/>
    <numFmt numFmtId="172" formatCode="_ * #,##0_ ;_ * \-#,##0_ ;_ * \-_ ;_ @_ "/>
    <numFmt numFmtId="173" formatCode="_-* #,##0.00&quot; TL&quot;_-;\-* #,##0.00&quot; TL&quot;_-;_-* \-??&quot; TL&quot;_-;_-@_-"/>
    <numFmt numFmtId="174" formatCode="_-* #,##0.00\ _T_L_-;\-* #,##0.00\ _T_L_-;_-* \-??\ _T_L_-;_-@_-"/>
    <numFmt numFmtId="175" formatCode="_ * #,##0.00_ ;_ * \-#,##0.00_ ;_ * \-??_ ;_ @_ "/>
    <numFmt numFmtId="176" formatCode="\$#,##0_);&quot;($&quot;#,##0\)"/>
    <numFmt numFmtId="177" formatCode="_-* #,##0\ _T_L_-;\-* #,##0\ _T_L_-;_-* &quot;- &quot;_T_L_-;_-@_-"/>
    <numFmt numFmtId="178" formatCode="[$$-409]\ #,##0.00"/>
    <numFmt numFmtId="179" formatCode="_(* #,##0.00_);_(* \(#,##0.00\);_(* \-??_);_(@_)"/>
    <numFmt numFmtId="180" formatCode="_-* #,##0.00\ _Y_T_L_-;\-* #,##0.00\ _Y_T_L_-;_-* \-??\ _Y_T_L_-;_-@_-"/>
    <numFmt numFmtId="181" formatCode="_-* #,##0.00_-;\-* #,##0.00_-;_-* \-??_-;_-@_-"/>
    <numFmt numFmtId="182" formatCode="_(* #,##0.0_);_(* \(#,##0.00\);_(* \-??_);_(@_)"/>
    <numFmt numFmtId="183" formatCode="General_)"/>
    <numFmt numFmtId="184" formatCode="0.000"/>
    <numFmt numFmtId="185" formatCode="&quot;fl&quot;#,##0_);&quot;(fl&quot;#,##0\)"/>
    <numFmt numFmtId="186" formatCode="&quot;fl&quot;#,##0_);[Red]&quot;(fl&quot;#,##0\)"/>
    <numFmt numFmtId="187" formatCode="&quot;fl&quot;#,##0.00_);&quot;(fl&quot;#,##0.00\)"/>
    <numFmt numFmtId="188" formatCode="0.000_)"/>
    <numFmt numFmtId="189" formatCode="\$#,##0;[Red]&quot;-$&quot;#,##0"/>
    <numFmt numFmtId="190" formatCode="_-&quot;SR&quot;* #,##0.00_-;&quot;-SR&quot;* #,##0.00_-;_-&quot;SR&quot;* \-??_-;_-@_-"/>
    <numFmt numFmtId="191" formatCode="dd\/mm\/yyyy"/>
    <numFmt numFmtId="192" formatCode="_-* #,##0_-;\-* #,##0_-;_-* \-_-;_-@_-"/>
    <numFmt numFmtId="193" formatCode="_-* #,##0.00&quot; €&quot;_-;\-* #,##0.00&quot; €&quot;_-;_-* \-??&quot; €&quot;_-;_-@_-"/>
    <numFmt numFmtId="194" formatCode="_-* #,##0_р_._-;\-* #,##0_р_._-;_-* \-_р_._-;_-@_-"/>
    <numFmt numFmtId="195" formatCode="_-* #,##0.00_р_._-;\-* #,##0.00_р_._-;_-* \-??_р_._-;_-@_-"/>
    <numFmt numFmtId="196" formatCode="_(\$* #,##0_);_(\$* \(#,##0\);_(\$* \-_);_(@_)"/>
    <numFmt numFmtId="197" formatCode="_(\$* #,##0.00_);_(\$* \(#,##0.00\);_(\$* \-??_);_(@_)"/>
    <numFmt numFmtId="198" formatCode="_-* #,##0.00\ [$€-1]_-;\-* #,##0.00\ [$€-1]_-;_-* \-??\ [$€-1]_-;_-@_-"/>
    <numFmt numFmtId="199" formatCode="\$#,##0.0_);&quot;($&quot;#,##0.0\)"/>
    <numFmt numFmtId="200" formatCode="\60&quot;47:&quot;"/>
    <numFmt numFmtId="201" formatCode="#,##0.0000\ [$€-1]"/>
    <numFmt numFmtId="202" formatCode="d\ mmmm\ yyyy\ "/>
    <numFmt numFmtId="203" formatCode="&quot;fl&quot;#,##0.00_);[Red]&quot;(fl&quot;#,##0.00\)"/>
    <numFmt numFmtId="204" formatCode="_(&quot;fl&quot;* #,##0_);_(&quot;fl&quot;* \(#,##0\);_(&quot;fl&quot;* \-_);_(@_)"/>
    <numFmt numFmtId="205" formatCode="_-\£* #,##0_-;&quot;-£&quot;* #,##0_-;_-\£* \-_-;_-@_-"/>
    <numFmt numFmtId="206" formatCode="_-\£* #,##0.00_-;&quot;-£&quot;* #,##0.00_-;_-\£* \-??_-;_-@_-"/>
    <numFmt numFmtId="207" formatCode="\£#,##0.00"/>
    <numFmt numFmtId="208" formatCode="[$$-409]#,##0.00"/>
    <numFmt numFmtId="209" formatCode="\$#,##0\ ;&quot;($&quot;#,##0\)"/>
    <numFmt numFmtId="210" formatCode="#."/>
    <numFmt numFmtId="211" formatCode="0.00_)"/>
    <numFmt numFmtId="212" formatCode="_(&quot;TL&quot;* #,##0.00_);_(&quot;TL&quot;* \(#,##0.00\);_(&quot;TL&quot;* &quot;-&quot;??_);_(@_)"/>
    <numFmt numFmtId="213" formatCode="_(* #,##0_);_(* \(#,##0\);_(* \-_);_(@_)"/>
    <numFmt numFmtId="214" formatCode="&quot;₺&quot;#,##0.00"/>
  </numFmts>
  <fonts count="84">
    <font>
      <sz val="10"/>
      <name val="Arial"/>
      <family val="2"/>
      <charset val="162"/>
    </font>
    <font>
      <sz val="10"/>
      <name val="Arial"/>
      <family val="2"/>
      <charset val="204"/>
    </font>
    <font>
      <sz val="11"/>
      <color indexed="8"/>
      <name val="Calibri"/>
      <family val="2"/>
      <charset val="162"/>
    </font>
    <font>
      <sz val="11"/>
      <color indexed="9"/>
      <name val="Calibri"/>
      <family val="2"/>
      <charset val="162"/>
    </font>
    <font>
      <sz val="8"/>
      <name val="Arial"/>
      <family val="2"/>
      <charset val="238"/>
    </font>
    <font>
      <sz val="14"/>
      <name val="Times New Roman"/>
      <family val="1"/>
      <charset val="162"/>
    </font>
    <font>
      <sz val="10"/>
      <color indexed="8"/>
      <name val="MS Sans Serif"/>
      <family val="2"/>
      <charset val="162"/>
    </font>
    <font>
      <b/>
      <sz val="10"/>
      <name val="MS Sans Serif"/>
      <family val="2"/>
      <charset val="162"/>
    </font>
    <font>
      <b/>
      <sz val="11"/>
      <name val="Arial"/>
      <family val="2"/>
      <charset val="162"/>
    </font>
    <font>
      <sz val="8"/>
      <name val="Arial"/>
      <family val="2"/>
      <charset val="162"/>
    </font>
    <font>
      <sz val="10"/>
      <name val="MS Sans Serif"/>
      <family val="2"/>
      <charset val="162"/>
    </font>
    <font>
      <b/>
      <sz val="18"/>
      <color indexed="56"/>
      <name val="Cambria"/>
      <family val="2"/>
      <charset val="162"/>
    </font>
    <font>
      <sz val="9"/>
      <name val="Arial"/>
      <family val="2"/>
      <charset val="162"/>
    </font>
    <font>
      <b/>
      <sz val="9"/>
      <color indexed="48"/>
      <name val="Arial"/>
      <family val="2"/>
      <charset val="162"/>
    </font>
    <font>
      <sz val="7"/>
      <name val="Ariel"/>
      <charset val="162"/>
    </font>
    <font>
      <sz val="11"/>
      <color indexed="10"/>
      <name val="Calibri"/>
      <family val="2"/>
      <charset val="162"/>
    </font>
    <font>
      <i/>
      <sz val="11"/>
      <color indexed="23"/>
      <name val="Calibri"/>
      <family val="2"/>
      <charset val="162"/>
    </font>
    <font>
      <sz val="11"/>
      <color indexed="20"/>
      <name val="Calibri"/>
      <family val="2"/>
      <charset val="162"/>
    </font>
    <font>
      <b/>
      <sz val="19"/>
      <color indexed="9"/>
      <name val="Arial"/>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sz val="9"/>
      <name val="Times New Roman"/>
      <family val="1"/>
      <charset val="162"/>
    </font>
    <font>
      <b/>
      <sz val="11"/>
      <color indexed="52"/>
      <name val="Calibri"/>
      <family val="2"/>
      <charset val="162"/>
    </font>
    <font>
      <b/>
      <sz val="10"/>
      <name val="Arial"/>
      <family val="2"/>
      <charset val="162"/>
    </font>
    <font>
      <b/>
      <sz val="11"/>
      <color indexed="9"/>
      <name val="Calibri"/>
      <family val="2"/>
      <charset val="162"/>
    </font>
    <font>
      <b/>
      <sz val="10"/>
      <name val="Times New Roman"/>
      <family val="1"/>
      <charset val="162"/>
    </font>
    <font>
      <sz val="11"/>
      <name val="Times New Roman"/>
      <family val="1"/>
      <charset val="162"/>
    </font>
    <font>
      <sz val="10"/>
      <color indexed="8"/>
      <name val="Arial"/>
      <family val="2"/>
      <charset val="162"/>
    </font>
    <font>
      <sz val="8"/>
      <name val="Arial Tur"/>
      <family val="2"/>
      <charset val="162"/>
    </font>
    <font>
      <i/>
      <sz val="8"/>
      <name val="Arial Narrow"/>
      <family val="2"/>
      <charset val="162"/>
    </font>
    <font>
      <sz val="11"/>
      <color indexed="62"/>
      <name val="Calibri"/>
      <family val="2"/>
      <charset val="162"/>
    </font>
    <font>
      <i/>
      <sz val="10"/>
      <name val="Times New Roman"/>
      <family val="1"/>
      <charset val="162"/>
    </font>
    <font>
      <u/>
      <sz val="10"/>
      <color indexed="20"/>
      <name val="Arial"/>
      <family val="2"/>
      <charset val="162"/>
    </font>
    <font>
      <sz val="11"/>
      <color indexed="17"/>
      <name val="Calibri"/>
      <family val="2"/>
      <charset val="162"/>
    </font>
    <font>
      <b/>
      <sz val="16"/>
      <name val="Arial"/>
      <family val="2"/>
      <charset val="162"/>
    </font>
    <font>
      <b/>
      <sz val="24"/>
      <color indexed="8"/>
      <name val="Times New Roman"/>
      <family val="1"/>
      <charset val="162"/>
    </font>
    <font>
      <b/>
      <sz val="12"/>
      <name val="Arial"/>
      <family val="2"/>
      <charset val="162"/>
    </font>
    <font>
      <b/>
      <sz val="14"/>
      <name val="Arial"/>
      <family val="2"/>
      <charset val="162"/>
    </font>
    <font>
      <i/>
      <sz val="12"/>
      <name val="Arial"/>
      <family val="2"/>
      <charset val="162"/>
    </font>
    <font>
      <sz val="12"/>
      <name val="Arial"/>
      <family val="2"/>
      <charset val="162"/>
    </font>
    <font>
      <i/>
      <sz val="10"/>
      <name val="Arial"/>
      <family val="2"/>
      <charset val="162"/>
    </font>
    <font>
      <b/>
      <sz val="14"/>
      <name val="Times New Roman"/>
      <family val="1"/>
      <charset val="162"/>
    </font>
    <font>
      <u/>
      <sz val="8.4"/>
      <color indexed="12"/>
      <name val="Arial"/>
      <family val="2"/>
      <charset val="162"/>
    </font>
    <font>
      <u/>
      <sz val="12"/>
      <color indexed="12"/>
      <name val="Arial Tur"/>
      <family val="2"/>
      <charset val="162"/>
    </font>
    <font>
      <u/>
      <sz val="8.8000000000000007"/>
      <color indexed="12"/>
      <name val="Calibri"/>
      <family val="2"/>
      <charset val="162"/>
    </font>
    <font>
      <sz val="24"/>
      <name val="Arial"/>
      <family val="2"/>
      <charset val="162"/>
    </font>
    <font>
      <b/>
      <sz val="32"/>
      <name val="Arial"/>
      <family val="2"/>
      <charset val="162"/>
    </font>
    <font>
      <b/>
      <sz val="9"/>
      <name val="Arial"/>
      <family val="2"/>
      <charset val="162"/>
    </font>
    <font>
      <sz val="11"/>
      <color indexed="60"/>
      <name val="Calibri"/>
      <family val="2"/>
      <charset val="162"/>
    </font>
    <font>
      <sz val="7"/>
      <name val="Small Fonts"/>
      <family val="2"/>
      <charset val="162"/>
    </font>
    <font>
      <sz val="11"/>
      <color indexed="8"/>
      <name val="Calibri"/>
      <family val="2"/>
      <charset val="204"/>
    </font>
    <font>
      <sz val="10"/>
      <color indexed="8"/>
      <name val="Arial Narrow"/>
      <family val="2"/>
      <charset val="162"/>
    </font>
    <font>
      <sz val="10"/>
      <name val="Times New Roman TUR"/>
      <family val="1"/>
      <charset val="162"/>
    </font>
    <font>
      <sz val="10"/>
      <name val="Tahoma"/>
      <family val="2"/>
      <charset val="162"/>
    </font>
    <font>
      <sz val="11"/>
      <color indexed="8"/>
      <name val="Arial"/>
      <family val="2"/>
      <charset val="162"/>
    </font>
    <font>
      <sz val="11"/>
      <name val="Arial"/>
      <family val="2"/>
      <charset val="162"/>
    </font>
    <font>
      <sz val="10"/>
      <name val="Arial Narrow"/>
      <family val="2"/>
      <charset val="162"/>
    </font>
    <font>
      <sz val="10"/>
      <name val="Courier New"/>
      <family val="3"/>
      <charset val="162"/>
    </font>
    <font>
      <b/>
      <i/>
      <sz val="10"/>
      <name val="Arial"/>
      <family val="2"/>
      <charset val="162"/>
    </font>
    <font>
      <b/>
      <sz val="11"/>
      <color indexed="63"/>
      <name val="Calibri"/>
      <family val="2"/>
      <charset val="162"/>
    </font>
    <font>
      <b/>
      <sz val="11"/>
      <name val="Times New Roman"/>
      <family val="1"/>
      <charset val="162"/>
    </font>
    <font>
      <b/>
      <sz val="8"/>
      <name val="Times New Roman"/>
      <family val="1"/>
      <charset val="162"/>
    </font>
    <font>
      <b/>
      <sz val="11"/>
      <color indexed="8"/>
      <name val="Calibri"/>
      <family val="2"/>
      <charset val="162"/>
    </font>
    <font>
      <sz val="8"/>
      <color indexed="10"/>
      <name val="Arial Narrow"/>
      <family val="2"/>
      <charset val="162"/>
    </font>
    <font>
      <b/>
      <sz val="10"/>
      <name val="Palatino Linotype"/>
      <family val="1"/>
      <charset val="162"/>
    </font>
    <font>
      <sz val="10"/>
      <name val="Arial"/>
      <family val="2"/>
      <charset val="162"/>
    </font>
    <font>
      <sz val="1"/>
      <color indexed="16"/>
      <name val="Courier New"/>
      <family val="1"/>
      <charset val="162"/>
    </font>
    <font>
      <b/>
      <sz val="1"/>
      <color indexed="16"/>
      <name val="Courier New"/>
      <family val="1"/>
      <charset val="162"/>
    </font>
    <font>
      <u/>
      <sz val="8"/>
      <color indexed="12"/>
      <name val="Times New Roman"/>
      <family val="1"/>
      <charset val="162"/>
    </font>
    <font>
      <u/>
      <sz val="10"/>
      <color indexed="12"/>
      <name val="Arial"/>
      <family val="2"/>
      <charset val="162"/>
    </font>
    <font>
      <b/>
      <i/>
      <sz val="16"/>
      <name val="Arial"/>
      <family val="2"/>
      <charset val="162"/>
    </font>
    <font>
      <sz val="10"/>
      <name val="Arial Tur"/>
      <family val="2"/>
      <charset val="162"/>
    </font>
    <font>
      <b/>
      <sz val="10"/>
      <color rgb="FFFF0000"/>
      <name val="Arial"/>
      <family val="2"/>
      <charset val="162"/>
    </font>
    <font>
      <sz val="14"/>
      <name val="Calibri"/>
      <family val="2"/>
      <charset val="162"/>
      <scheme val="minor"/>
    </font>
    <font>
      <sz val="14"/>
      <color indexed="8"/>
      <name val="Calibri"/>
      <family val="2"/>
      <charset val="162"/>
      <scheme val="minor"/>
    </font>
    <font>
      <b/>
      <sz val="14"/>
      <name val="Calibri"/>
      <family val="2"/>
      <charset val="162"/>
      <scheme val="minor"/>
    </font>
    <font>
      <b/>
      <sz val="14"/>
      <color indexed="10"/>
      <name val="Calibri"/>
      <family val="2"/>
      <charset val="162"/>
      <scheme val="minor"/>
    </font>
    <font>
      <sz val="14"/>
      <color indexed="10"/>
      <name val="Calibri"/>
      <family val="2"/>
      <charset val="162"/>
      <scheme val="minor"/>
    </font>
    <font>
      <sz val="14"/>
      <color theme="1"/>
      <name val="Calibri"/>
      <family val="2"/>
      <charset val="162"/>
      <scheme val="minor"/>
    </font>
    <font>
      <b/>
      <sz val="10"/>
      <color rgb="FFFF0000"/>
      <name val="Palatino Linotype"/>
      <family val="1"/>
      <charset val="162"/>
    </font>
    <font>
      <b/>
      <sz val="22"/>
      <name val="Calibri"/>
      <family val="2"/>
      <charset val="162"/>
      <scheme val="minor"/>
    </font>
    <font>
      <sz val="14"/>
      <color rgb="FFFF0000"/>
      <name val="Calibri"/>
      <family val="2"/>
      <charset val="162"/>
      <scheme val="minor"/>
    </font>
  </fonts>
  <fills count="46">
    <fill>
      <patternFill patternType="none"/>
    </fill>
    <fill>
      <patternFill patternType="gray125"/>
    </fill>
    <fill>
      <patternFill patternType="solid">
        <fgColor indexed="31"/>
        <bgColor indexed="34"/>
      </patternFill>
    </fill>
    <fill>
      <patternFill patternType="solid">
        <fgColor indexed="45"/>
        <bgColor indexed="29"/>
      </patternFill>
    </fill>
    <fill>
      <patternFill patternType="solid">
        <fgColor indexed="42"/>
        <bgColor indexed="27"/>
      </patternFill>
    </fill>
    <fill>
      <patternFill patternType="solid">
        <fgColor indexed="46"/>
        <bgColor indexed="45"/>
      </patternFill>
    </fill>
    <fill>
      <patternFill patternType="solid">
        <fgColor indexed="27"/>
        <bgColor indexed="42"/>
      </patternFill>
    </fill>
    <fill>
      <patternFill patternType="solid">
        <fgColor indexed="47"/>
        <bgColor indexed="34"/>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6"/>
        <bgColor indexed="9"/>
      </patternFill>
    </fill>
    <fill>
      <patternFill patternType="solid">
        <fgColor indexed="22"/>
        <bgColor indexed="24"/>
      </patternFill>
    </fill>
    <fill>
      <patternFill patternType="solid">
        <fgColor indexed="62"/>
        <bgColor indexed="56"/>
      </patternFill>
    </fill>
    <fill>
      <patternFill patternType="solid">
        <fgColor indexed="10"/>
        <bgColor indexed="25"/>
      </patternFill>
    </fill>
    <fill>
      <patternFill patternType="solid">
        <fgColor indexed="57"/>
        <bgColor indexed="21"/>
      </patternFill>
    </fill>
    <fill>
      <patternFill patternType="solid">
        <fgColor indexed="53"/>
        <bgColor indexed="52"/>
      </patternFill>
    </fill>
    <fill>
      <patternFill patternType="solid">
        <fgColor indexed="34"/>
        <bgColor indexed="41"/>
      </patternFill>
    </fill>
    <fill>
      <patternFill patternType="solid">
        <fgColor indexed="55"/>
        <bgColor indexed="23"/>
      </patternFill>
    </fill>
    <fill>
      <patternFill patternType="solid">
        <fgColor indexed="8"/>
        <bgColor indexed="58"/>
      </patternFill>
    </fill>
    <fill>
      <patternFill patternType="solid">
        <fgColor indexed="22"/>
        <bgColor indexed="31"/>
      </patternFill>
    </fill>
    <fill>
      <patternFill patternType="solid">
        <fgColor indexed="24"/>
        <bgColor indexed="22"/>
      </patternFill>
    </fill>
    <fill>
      <patternFill patternType="solid">
        <fgColor indexed="41"/>
        <bgColor indexed="9"/>
      </patternFill>
    </fill>
    <fill>
      <patternFill patternType="solid">
        <fgColor indexed="43"/>
        <bgColor indexed="26"/>
      </patternFill>
    </fill>
    <fill>
      <patternFill patternType="solid">
        <fgColor indexed="58"/>
        <bgColor indexed="59"/>
      </patternFill>
    </fill>
    <fill>
      <patternFill patternType="solid">
        <fgColor indexed="13"/>
        <bgColor indexed="51"/>
      </patternFill>
    </fill>
    <fill>
      <patternFill patternType="solid">
        <fgColor indexed="9"/>
        <bgColor indexed="41"/>
      </patternFill>
    </fill>
    <fill>
      <patternFill patternType="solid">
        <fgColor theme="0"/>
        <bgColor indexed="26"/>
      </patternFill>
    </fill>
    <fill>
      <patternFill patternType="solid">
        <fgColor theme="4" tint="0.79998168889431442"/>
        <bgColor indexed="26"/>
      </patternFill>
    </fill>
    <fill>
      <patternFill patternType="solid">
        <fgColor theme="0"/>
        <bgColor indexed="41"/>
      </patternFill>
    </fill>
    <fill>
      <patternFill patternType="solid">
        <fgColor theme="0"/>
        <bgColor indexed="64"/>
      </patternFill>
    </fill>
    <fill>
      <patternFill patternType="solid">
        <fgColor theme="0" tint="-0.249977111117893"/>
        <bgColor indexed="64"/>
      </patternFill>
    </fill>
    <fill>
      <patternFill patternType="solid">
        <fgColor theme="0"/>
        <bgColor indexed="33"/>
      </patternFill>
    </fill>
    <fill>
      <patternFill patternType="solid">
        <fgColor theme="0"/>
        <bgColor indexed="10"/>
      </patternFill>
    </fill>
    <fill>
      <patternFill patternType="solid">
        <fgColor theme="0"/>
        <bgColor indexed="14"/>
      </patternFill>
    </fill>
    <fill>
      <patternFill patternType="solid">
        <fgColor theme="0" tint="-0.249977111117893"/>
        <bgColor indexed="41"/>
      </patternFill>
    </fill>
    <fill>
      <patternFill patternType="solid">
        <fgColor theme="4" tint="0.79998168889431442"/>
        <bgColor indexed="64"/>
      </patternFill>
    </fill>
    <fill>
      <patternFill patternType="solid">
        <fgColor theme="0" tint="-0.249977111117893"/>
        <bgColor indexed="26"/>
      </patternFill>
    </fill>
    <fill>
      <patternFill patternType="solid">
        <fgColor theme="4" tint="0.59999389629810485"/>
        <bgColor indexed="26"/>
      </patternFill>
    </fill>
    <fill>
      <patternFill patternType="solid">
        <fgColor theme="4" tint="0.59999389629810485"/>
        <bgColor indexed="41"/>
      </patternFill>
    </fill>
    <fill>
      <patternFill patternType="solid">
        <fgColor theme="0" tint="-0.249977111117893"/>
        <bgColor indexed="22"/>
      </patternFill>
    </fill>
  </fills>
  <borders count="44">
    <border>
      <left/>
      <right/>
      <top/>
      <bottom/>
      <diagonal/>
    </border>
    <border>
      <left/>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hair">
        <color indexed="8"/>
      </top>
      <bottom style="hair">
        <color indexed="8"/>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8"/>
      </top>
      <bottom style="double">
        <color indexed="8"/>
      </bottom>
      <diagonal/>
    </border>
    <border>
      <left/>
      <right/>
      <top/>
      <bottom style="thick">
        <color indexed="8"/>
      </bottom>
      <diagonal/>
    </border>
    <border>
      <left/>
      <right/>
      <top style="medium">
        <color indexed="8"/>
      </top>
      <bottom style="medium">
        <color indexed="8"/>
      </bottom>
      <diagonal/>
    </border>
    <border>
      <left/>
      <right/>
      <top style="thin">
        <color indexed="8"/>
      </top>
      <bottom style="thin">
        <color indexed="8"/>
      </bottom>
      <diagonal/>
    </border>
    <border>
      <left/>
      <right/>
      <top style="thick">
        <color indexed="8"/>
      </top>
      <bottom/>
      <diagonal/>
    </border>
    <border>
      <left/>
      <right/>
      <top/>
      <bottom style="medium">
        <color indexed="8"/>
      </bottom>
      <diagonal/>
    </border>
    <border>
      <left style="thin">
        <color indexed="8"/>
      </left>
      <right style="thin">
        <color indexed="8"/>
      </right>
      <top/>
      <bottom style="thin">
        <color indexed="8"/>
      </bottom>
      <diagonal/>
    </border>
    <border>
      <left/>
      <right/>
      <top style="thin">
        <color indexed="62"/>
      </top>
      <bottom style="double">
        <color indexed="62"/>
      </bottom>
      <diagonal/>
    </border>
    <border>
      <left/>
      <right/>
      <top/>
      <bottom style="medium">
        <color indexed="64"/>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medium">
        <color indexed="8"/>
      </right>
      <top style="hair">
        <color indexed="8"/>
      </top>
      <bottom style="hair">
        <color indexed="8"/>
      </bottom>
      <diagonal/>
    </border>
    <border diagonalUp="1" diagonalDown="1">
      <left style="hair">
        <color indexed="8"/>
      </left>
      <right style="hair">
        <color indexed="8"/>
      </right>
      <top style="hair">
        <color indexed="8"/>
      </top>
      <bottom style="hair">
        <color indexed="8"/>
      </bottom>
      <diagonal style="hair">
        <color indexed="8"/>
      </diagonal>
    </border>
    <border>
      <left style="hair">
        <color indexed="8"/>
      </left>
      <right style="hair">
        <color indexed="8"/>
      </right>
      <top style="hair">
        <color indexed="8"/>
      </top>
      <bottom/>
      <diagonal/>
    </border>
    <border>
      <left style="hair">
        <color indexed="8"/>
      </left>
      <right style="medium">
        <color indexed="8"/>
      </right>
      <top style="hair">
        <color indexed="8"/>
      </top>
      <bottom/>
      <diagonal/>
    </border>
    <border>
      <left style="medium">
        <color indexed="8"/>
      </left>
      <right style="hair">
        <color indexed="8"/>
      </right>
      <top style="hair">
        <color indexed="8"/>
      </top>
      <bottom/>
      <diagonal/>
    </border>
    <border diagonalUp="1">
      <left style="hair">
        <color indexed="8"/>
      </left>
      <right style="hair">
        <color indexed="8"/>
      </right>
      <top style="hair">
        <color indexed="8"/>
      </top>
      <bottom style="hair">
        <color indexed="8"/>
      </bottom>
      <diagonal style="hair">
        <color indexed="8"/>
      </diagonal>
    </border>
    <border>
      <left style="medium">
        <color indexed="8"/>
      </left>
      <right/>
      <top/>
      <bottom style="medium">
        <color indexed="8"/>
      </bottom>
      <diagonal/>
    </border>
    <border>
      <left/>
      <right style="medium">
        <color indexed="8"/>
      </right>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diagonalUp="1" diagonalDown="1">
      <left style="thin">
        <color indexed="8"/>
      </left>
      <right style="medium">
        <color indexed="8"/>
      </right>
      <top style="medium">
        <color indexed="8"/>
      </top>
      <bottom style="medium">
        <color indexed="8"/>
      </bottom>
      <diagonal style="thin">
        <color indexed="8"/>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s>
  <cellStyleXfs count="1686">
    <xf numFmtId="0" fontId="0" fillId="0" borderId="0"/>
    <xf numFmtId="0" fontId="1" fillId="0" borderId="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67" fillId="0" borderId="0"/>
    <xf numFmtId="0" fontId="67" fillId="0" borderId="0"/>
    <xf numFmtId="0" fontId="1" fillId="0" borderId="0"/>
    <xf numFmtId="168" fontId="67" fillId="0" borderId="0" applyFill="0" applyBorder="0" applyAlignment="0" applyProtection="0"/>
    <xf numFmtId="169" fontId="67" fillId="0" borderId="0" applyFill="0" applyBorder="0" applyAlignment="0" applyProtection="0"/>
    <xf numFmtId="170" fontId="67" fillId="0" borderId="0" applyFill="0" applyBorder="0" applyAlignment="0" applyProtection="0"/>
    <xf numFmtId="0" fontId="4" fillId="16" borderId="0" applyNumberFormat="0" applyBorder="0" applyAlignment="0" applyProtection="0"/>
    <xf numFmtId="171" fontId="67" fillId="0" borderId="0"/>
    <xf numFmtId="0" fontId="5" fillId="0" borderId="0"/>
    <xf numFmtId="0" fontId="6" fillId="0" borderId="0" applyNumberFormat="0" applyFill="0" applyBorder="0" applyAlignment="0" applyProtection="0"/>
    <xf numFmtId="172" fontId="67" fillId="0" borderId="0" applyFill="0" applyBorder="0" applyAlignment="0" applyProtection="0"/>
    <xf numFmtId="173" fontId="67" fillId="0" borderId="0" applyFill="0" applyBorder="0" applyAlignment="0" applyProtection="0"/>
    <xf numFmtId="174" fontId="67" fillId="0" borderId="0" applyFill="0" applyBorder="0" applyAlignment="0" applyProtection="0"/>
    <xf numFmtId="0" fontId="4" fillId="17" borderId="0" applyNumberFormat="0" applyBorder="0" applyAlignment="0" applyProtection="0"/>
    <xf numFmtId="175" fontId="67" fillId="0" borderId="0" applyFill="0" applyBorder="0" applyAlignment="0" applyProtection="0"/>
    <xf numFmtId="10" fontId="67" fillId="0" borderId="0" applyFill="0" applyBorder="0" applyAlignment="0" applyProtection="0"/>
    <xf numFmtId="176" fontId="7" fillId="0" borderId="1" applyAlignment="0" applyProtection="0"/>
    <xf numFmtId="177" fontId="67" fillId="0" borderId="0" applyFill="0" applyBorder="0" applyAlignment="0" applyProtection="0"/>
    <xf numFmtId="0" fontId="67" fillId="0" borderId="0"/>
    <xf numFmtId="9" fontId="67" fillId="4" borderId="0"/>
    <xf numFmtId="0" fontId="67"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21" borderId="0" applyNumberFormat="0" applyBorder="0" applyAlignment="0" applyProtection="0"/>
    <xf numFmtId="0" fontId="8" fillId="0" borderId="0"/>
    <xf numFmtId="0" fontId="9" fillId="0" borderId="0" applyNumberFormat="0" applyAlignment="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0" fillId="0" borderId="2"/>
    <xf numFmtId="0" fontId="67" fillId="0" borderId="0">
      <alignment vertical="center"/>
    </xf>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2" fillId="0" borderId="3">
      <alignment horizontal="left" vertical="center" wrapText="1"/>
    </xf>
    <xf numFmtId="0" fontId="13" fillId="0" borderId="3">
      <alignment horizontal="left" vertical="center" wrapText="1"/>
    </xf>
    <xf numFmtId="0" fontId="14" fillId="0" borderId="0" applyNumberFormat="0" applyProtection="0"/>
    <xf numFmtId="0" fontId="15" fillId="0" borderId="0" applyNumberFormat="0" applyFill="0" applyBorder="0" applyAlignment="0" applyProtection="0"/>
    <xf numFmtId="0" fontId="17" fillId="3" borderId="0" applyNumberFormat="0" applyBorder="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9" fillId="0" borderId="4" applyNumberFormat="0" applyFill="0" applyAlignment="0" applyProtection="0"/>
    <xf numFmtId="0" fontId="18" fillId="22" borderId="0">
      <alignment horizontal="center" vertical="center"/>
    </xf>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179" fontId="67" fillId="0" borderId="0" applyFill="0" applyBorder="0" applyAlignment="0" applyProtection="0"/>
    <xf numFmtId="180" fontId="2" fillId="0" borderId="0" applyFill="0" applyBorder="0" applyAlignment="0" applyProtection="0"/>
    <xf numFmtId="181" fontId="67" fillId="0" borderId="0" applyFill="0" applyBorder="0" applyAlignment="0" applyProtection="0"/>
    <xf numFmtId="174" fontId="67" fillId="0" borderId="0" applyFill="0" applyBorder="0" applyAlignment="0" applyProtection="0"/>
    <xf numFmtId="174" fontId="67" fillId="0" borderId="0" applyFill="0" applyBorder="0" applyAlignment="0" applyProtection="0"/>
    <xf numFmtId="174" fontId="67" fillId="0" borderId="0" applyFill="0" applyBorder="0" applyAlignment="0" applyProtection="0"/>
    <xf numFmtId="178" fontId="67" fillId="0" borderId="0"/>
    <xf numFmtId="0" fontId="9" fillId="0" borderId="0"/>
    <xf numFmtId="176" fontId="7" fillId="0" borderId="1" applyAlignment="0" applyProtection="0"/>
    <xf numFmtId="182" fontId="23" fillId="0" borderId="0" applyFill="0" applyBorder="0" applyAlignment="0"/>
    <xf numFmtId="183" fontId="23" fillId="0" borderId="0" applyFill="0" applyBorder="0" applyAlignment="0"/>
    <xf numFmtId="184" fontId="23" fillId="0" borderId="0" applyFill="0" applyBorder="0" applyAlignment="0"/>
    <xf numFmtId="185" fontId="23" fillId="0" borderId="0" applyFill="0" applyBorder="0" applyAlignment="0"/>
    <xf numFmtId="186" fontId="23" fillId="0" borderId="0" applyFill="0" applyBorder="0" applyAlignment="0"/>
    <xf numFmtId="182" fontId="23" fillId="0" borderId="0" applyFill="0" applyBorder="0" applyAlignment="0"/>
    <xf numFmtId="187" fontId="23" fillId="0" borderId="0" applyFill="0" applyBorder="0" applyAlignment="0"/>
    <xf numFmtId="183" fontId="23" fillId="0" borderId="0" applyFill="0" applyBorder="0" applyAlignment="0"/>
    <xf numFmtId="0" fontId="24" fillId="17" borderId="8" applyNumberFormat="0" applyAlignment="0" applyProtection="0"/>
    <xf numFmtId="0" fontId="24" fillId="17" borderId="8" applyNumberFormat="0" applyAlignment="0" applyProtection="0"/>
    <xf numFmtId="179" fontId="67" fillId="0" borderId="0" applyFill="0" applyBorder="0" applyAlignment="0" applyProtection="0"/>
    <xf numFmtId="0" fontId="25" fillId="0" borderId="0"/>
    <xf numFmtId="0" fontId="19" fillId="0" borderId="4" applyNumberFormat="0" applyFill="0" applyAlignment="0" applyProtection="0"/>
    <xf numFmtId="0" fontId="26" fillId="23" borderId="9" applyNumberFormat="0" applyAlignment="0" applyProtection="0"/>
    <xf numFmtId="0" fontId="27" fillId="0" borderId="10">
      <alignment horizontal="left"/>
    </xf>
    <xf numFmtId="188" fontId="28" fillId="0" borderId="0"/>
    <xf numFmtId="188" fontId="28" fillId="0" borderId="0"/>
    <xf numFmtId="188" fontId="28" fillId="0" borderId="0"/>
    <xf numFmtId="188" fontId="28" fillId="0" borderId="0"/>
    <xf numFmtId="188" fontId="28" fillId="0" borderId="0"/>
    <xf numFmtId="188" fontId="28" fillId="0" borderId="0"/>
    <xf numFmtId="188" fontId="28" fillId="0" borderId="0"/>
    <xf numFmtId="188" fontId="28" fillId="0" borderId="0"/>
    <xf numFmtId="38" fontId="67" fillId="0" borderId="0" applyFill="0" applyBorder="0" applyAlignment="0" applyProtection="0"/>
    <xf numFmtId="177" fontId="2" fillId="0" borderId="0" applyFill="0" applyBorder="0" applyAlignment="0" applyProtection="0"/>
    <xf numFmtId="182" fontId="67" fillId="0" borderId="0" applyFill="0" applyBorder="0" applyAlignment="0" applyProtection="0"/>
    <xf numFmtId="182" fontId="2" fillId="0" borderId="0" applyFill="0" applyBorder="0" applyAlignment="0" applyProtection="0"/>
    <xf numFmtId="174" fontId="67" fillId="0" borderId="0" applyFill="0" applyBorder="0" applyAlignment="0" applyProtection="0"/>
    <xf numFmtId="181" fontId="2" fillId="0" borderId="0" applyFill="0" applyBorder="0" applyAlignment="0" applyProtection="0"/>
    <xf numFmtId="0" fontId="6" fillId="0" borderId="0" applyNumberFormat="0" applyFill="0" applyBorder="0" applyAlignment="0" applyProtection="0"/>
    <xf numFmtId="3" fontId="2" fillId="0" borderId="0" applyFill="0" applyBorder="0" applyAlignment="0" applyProtection="0"/>
    <xf numFmtId="0" fontId="67" fillId="16" borderId="11" applyNumberFormat="0" applyAlignment="0" applyProtection="0"/>
    <xf numFmtId="189" fontId="67" fillId="0" borderId="0" applyFill="0" applyBorder="0" applyAlignment="0" applyProtection="0"/>
    <xf numFmtId="170" fontId="2" fillId="0" borderId="0" applyFill="0" applyBorder="0" applyAlignment="0" applyProtection="0"/>
    <xf numFmtId="183" fontId="67" fillId="0" borderId="0" applyFill="0" applyBorder="0" applyAlignment="0" applyProtection="0"/>
    <xf numFmtId="183" fontId="2" fillId="0" borderId="0" applyFill="0" applyBorder="0" applyAlignment="0" applyProtection="0"/>
    <xf numFmtId="190" fontId="2" fillId="0" borderId="0" applyFill="0" applyBorder="0" applyAlignment="0" applyProtection="0"/>
    <xf numFmtId="0" fontId="6" fillId="0" borderId="0" applyNumberFormat="0" applyFill="0" applyBorder="0" applyAlignment="0" applyProtection="0"/>
    <xf numFmtId="209" fontId="2" fillId="0" borderId="0" applyFill="0" applyBorder="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1" fillId="17" borderId="12" applyNumberFormat="0" applyAlignment="0" applyProtection="0"/>
    <xf numFmtId="0" fontId="67" fillId="24" borderId="0"/>
    <xf numFmtId="210" fontId="68" fillId="0" borderId="0">
      <protection locked="0"/>
    </xf>
    <xf numFmtId="191" fontId="29" fillId="0" borderId="0" applyFill="0" applyBorder="0" applyAlignment="0"/>
    <xf numFmtId="0" fontId="30" fillId="0" borderId="0" applyFill="0" applyAlignment="0" applyProtection="0"/>
    <xf numFmtId="38" fontId="10" fillId="0" borderId="13">
      <alignment vertical="center"/>
    </xf>
    <xf numFmtId="192" fontId="67" fillId="0" borderId="0" applyFill="0" applyBorder="0" applyAlignment="0" applyProtection="0"/>
    <xf numFmtId="181" fontId="67" fillId="0" borderId="0" applyFill="0" applyBorder="0" applyAlignment="0" applyProtection="0"/>
    <xf numFmtId="182" fontId="23" fillId="0" borderId="0" applyFill="0" applyBorder="0" applyAlignment="0"/>
    <xf numFmtId="183" fontId="23" fillId="0" borderId="0" applyFill="0" applyBorder="0" applyAlignment="0"/>
    <xf numFmtId="182" fontId="23" fillId="0" borderId="0" applyFill="0" applyBorder="0" applyAlignment="0"/>
    <xf numFmtId="187" fontId="23" fillId="0" borderId="0" applyFill="0" applyBorder="0" applyAlignment="0"/>
    <xf numFmtId="183" fontId="23" fillId="0" borderId="0" applyFill="0" applyBorder="0" applyAlignment="0"/>
    <xf numFmtId="0" fontId="32" fillId="7" borderId="8" applyNumberFormat="0" applyAlignment="0" applyProtection="0"/>
    <xf numFmtId="3" fontId="31" fillId="0" borderId="0" applyFill="0" applyBorder="0">
      <alignment horizontal="left"/>
      <protection locked="0"/>
    </xf>
    <xf numFmtId="0" fontId="67" fillId="0" borderId="0"/>
    <xf numFmtId="193" fontId="67" fillId="0" borderId="0" applyFill="0" applyBorder="0" applyAlignment="0" applyProtection="0"/>
    <xf numFmtId="0" fontId="2" fillId="0" borderId="0"/>
    <xf numFmtId="0" fontId="2" fillId="0" borderId="0"/>
    <xf numFmtId="0" fontId="16" fillId="0" borderId="0" applyNumberFormat="0" applyFill="0" applyBorder="0" applyAlignment="0" applyProtection="0"/>
    <xf numFmtId="3" fontId="67" fillId="24" borderId="0"/>
    <xf numFmtId="2" fontId="67" fillId="24" borderId="0"/>
    <xf numFmtId="1" fontId="67" fillId="24" borderId="0"/>
    <xf numFmtId="184" fontId="67" fillId="24" borderId="0"/>
    <xf numFmtId="0" fontId="67" fillId="24" borderId="0"/>
    <xf numFmtId="3" fontId="67" fillId="24" borderId="0"/>
    <xf numFmtId="0" fontId="67" fillId="24" borderId="0"/>
    <xf numFmtId="0" fontId="33" fillId="0" borderId="0" applyNumberFormat="0" applyFill="0" applyBorder="0" applyProtection="0">
      <alignment vertical="top"/>
    </xf>
    <xf numFmtId="3" fontId="12" fillId="0" borderId="0">
      <alignment horizontal="right"/>
    </xf>
    <xf numFmtId="2" fontId="67" fillId="24" borderId="0"/>
    <xf numFmtId="210" fontId="68" fillId="0" borderId="0">
      <protection locked="0"/>
    </xf>
    <xf numFmtId="0" fontId="67" fillId="0" borderId="0"/>
    <xf numFmtId="0" fontId="34" fillId="0" borderId="0" applyNumberFormat="0" applyFill="0" applyBorder="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2" fillId="7" borderId="8" applyNumberFormat="0" applyAlignment="0" applyProtection="0"/>
    <xf numFmtId="0" fontId="35" fillId="4" borderId="0" applyNumberFormat="0" applyBorder="0" applyAlignment="0" applyProtection="0"/>
    <xf numFmtId="0" fontId="9" fillId="17" borderId="0" applyNumberFormat="0" applyBorder="0" applyAlignment="0" applyProtection="0"/>
    <xf numFmtId="0" fontId="9" fillId="25" borderId="0" applyNumberFormat="0" applyBorder="0" applyAlignment="0" applyProtection="0"/>
    <xf numFmtId="0" fontId="36" fillId="0" borderId="14">
      <alignment vertical="center"/>
    </xf>
    <xf numFmtId="0" fontId="37" fillId="26" borderId="0">
      <alignment horizontal="center"/>
    </xf>
    <xf numFmtId="0" fontId="38" fillId="0" borderId="0">
      <alignment horizontal="left"/>
    </xf>
    <xf numFmtId="0" fontId="38" fillId="0" borderId="15" applyNumberFormat="0" applyAlignment="0" applyProtection="0"/>
    <xf numFmtId="0" fontId="38" fillId="0" borderId="16">
      <alignment horizontal="left" vertical="center"/>
    </xf>
    <xf numFmtId="0" fontId="6" fillId="0" borderId="0" applyNumberFormat="0" applyFill="0" applyBorder="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20" fillId="0" borderId="5" applyNumberFormat="0" applyFill="0" applyAlignment="0" applyProtection="0"/>
    <xf numFmtId="0" fontId="6" fillId="0" borderId="0" applyNumberFormat="0" applyFill="0" applyBorder="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0" borderId="7" applyNumberFormat="0" applyFill="0" applyAlignment="0" applyProtection="0"/>
    <xf numFmtId="0" fontId="22" fillId="0" borderId="0" applyNumberFormat="0" applyFill="0" applyBorder="0" applyAlignment="0" applyProtection="0"/>
    <xf numFmtId="0" fontId="39" fillId="0" borderId="0"/>
    <xf numFmtId="210" fontId="69" fillId="0" borderId="0">
      <protection locked="0"/>
    </xf>
    <xf numFmtId="0" fontId="38" fillId="0" borderId="0"/>
    <xf numFmtId="210" fontId="69" fillId="0" borderId="0">
      <protection locked="0"/>
    </xf>
    <xf numFmtId="0" fontId="40" fillId="0" borderId="0"/>
    <xf numFmtId="0" fontId="41" fillId="0" borderId="0"/>
    <xf numFmtId="0" fontId="25" fillId="0" borderId="0"/>
    <xf numFmtId="0" fontId="42" fillId="0" borderId="0"/>
    <xf numFmtId="0" fontId="43" fillId="27" borderId="0"/>
    <xf numFmtId="0" fontId="5" fillId="0" borderId="0"/>
    <xf numFmtId="0" fontId="12" fillId="0" borderId="0" applyFill="0" applyBorder="0" applyProtection="0">
      <alignment horizontal="center" wrapText="1"/>
    </xf>
    <xf numFmtId="0" fontId="12" fillId="0" borderId="0" applyFill="0" applyBorder="0" applyProtection="0">
      <alignment horizontal="left" vertical="top" wrapText="1"/>
    </xf>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24" fillId="17" borderId="8" applyNumberFormat="0" applyAlignment="0" applyProtection="0"/>
    <xf numFmtId="0" fontId="67" fillId="0" borderId="0">
      <alignment horizontal="center"/>
    </xf>
    <xf numFmtId="0" fontId="44" fillId="0" borderId="0" applyNumberFormat="0" applyFill="0" applyBorder="0" applyAlignment="0" applyProtection="0"/>
    <xf numFmtId="0" fontId="70" fillId="0" borderId="0" applyNumberFormat="0" applyFill="0" applyBorder="0" applyAlignment="0" applyProtection="0"/>
    <xf numFmtId="0" fontId="32" fillId="7" borderId="8" applyNumberFormat="0" applyAlignment="0" applyProtection="0"/>
    <xf numFmtId="0" fontId="9" fillId="16" borderId="0" applyNumberFormat="0" applyBorder="0" applyAlignment="0" applyProtection="0"/>
    <xf numFmtId="0" fontId="17" fillId="3" borderId="0" applyNumberFormat="0" applyBorder="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71" fillId="0" borderId="0" applyNumberFormat="0" applyFill="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182" fontId="23" fillId="0" borderId="0" applyFill="0" applyBorder="0" applyAlignment="0"/>
    <xf numFmtId="183" fontId="23" fillId="0" borderId="0" applyFill="0" applyBorder="0" applyAlignment="0"/>
    <xf numFmtId="182" fontId="23" fillId="0" borderId="0" applyFill="0" applyBorder="0" applyAlignment="0"/>
    <xf numFmtId="187" fontId="23" fillId="0" borderId="0" applyFill="0" applyBorder="0" applyAlignment="0"/>
    <xf numFmtId="183" fontId="23" fillId="0" borderId="0" applyFill="0" applyBorder="0" applyAlignment="0"/>
    <xf numFmtId="0" fontId="19" fillId="0" borderId="4" applyNumberFormat="0" applyFill="0" applyAlignment="0" applyProtection="0"/>
    <xf numFmtId="3" fontId="67" fillId="0" borderId="0" applyBorder="0">
      <alignment horizontal="left" vertical="center"/>
    </xf>
    <xf numFmtId="0" fontId="47" fillId="0" borderId="0">
      <alignment horizontal="center"/>
    </xf>
    <xf numFmtId="0" fontId="48" fillId="0" borderId="17">
      <alignment horizontal="center"/>
    </xf>
    <xf numFmtId="0" fontId="67" fillId="0" borderId="0">
      <alignment horizontal="center"/>
    </xf>
    <xf numFmtId="194" fontId="2" fillId="0" borderId="0" applyFill="0" applyBorder="0" applyAlignment="0" applyProtection="0"/>
    <xf numFmtId="195" fontId="2" fillId="0" borderId="0" applyFill="0" applyBorder="0" applyAlignment="0" applyProtection="0"/>
    <xf numFmtId="169" fontId="67" fillId="0" borderId="0" applyFill="0" applyBorder="0" applyAlignment="0" applyProtection="0"/>
    <xf numFmtId="168" fontId="67" fillId="0" borderId="0" applyFill="0" applyBorder="0" applyAlignment="0" applyProtection="0"/>
    <xf numFmtId="0" fontId="49" fillId="0" borderId="0"/>
    <xf numFmtId="0" fontId="8" fillId="0" borderId="18"/>
    <xf numFmtId="196" fontId="2" fillId="0" borderId="0" applyFill="0" applyBorder="0" applyAlignment="0" applyProtection="0"/>
    <xf numFmtId="197" fontId="2" fillId="0" borderId="0" applyFill="0" applyBorder="0" applyAlignment="0" applyProtection="0"/>
    <xf numFmtId="0" fontId="50" fillId="28" borderId="0" applyNumberFormat="0" applyBorder="0" applyAlignment="0" applyProtection="0"/>
    <xf numFmtId="0" fontId="50" fillId="28" borderId="0" applyNumberFormat="0" applyBorder="0" applyAlignment="0" applyProtection="0"/>
    <xf numFmtId="37" fontId="51" fillId="0" borderId="0"/>
    <xf numFmtId="171" fontId="67" fillId="0" borderId="0"/>
    <xf numFmtId="211" fontId="72" fillId="0" borderId="0"/>
    <xf numFmtId="171" fontId="67" fillId="0" borderId="0"/>
    <xf numFmtId="171" fontId="67" fillId="0" borderId="0"/>
    <xf numFmtId="171" fontId="67" fillId="0" borderId="0"/>
    <xf numFmtId="171" fontId="67" fillId="0" borderId="0"/>
    <xf numFmtId="171" fontId="67" fillId="0" borderId="0"/>
    <xf numFmtId="171" fontId="67" fillId="0" borderId="0"/>
    <xf numFmtId="171" fontId="67" fillId="0" borderId="0"/>
    <xf numFmtId="171" fontId="67" fillId="0" borderId="0"/>
    <xf numFmtId="0" fontId="2" fillId="0" borderId="0"/>
    <xf numFmtId="0" fontId="7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1" fillId="0" borderId="0"/>
    <xf numFmtId="0" fontId="1" fillId="0" borderId="0"/>
    <xf numFmtId="0" fontId="2" fillId="0" borderId="0"/>
    <xf numFmtId="0" fontId="67" fillId="0" borderId="0"/>
    <xf numFmtId="0" fontId="67" fillId="0" borderId="0"/>
    <xf numFmtId="0" fontId="67" fillId="0" borderId="0"/>
    <xf numFmtId="0" fontId="67" fillId="0" borderId="0"/>
    <xf numFmtId="0" fontId="1" fillId="0" borderId="0"/>
    <xf numFmtId="0" fontId="67" fillId="0" borderId="0"/>
    <xf numFmtId="0" fontId="73" fillId="0" borderId="0"/>
    <xf numFmtId="0" fontId="67" fillId="0" borderId="0"/>
    <xf numFmtId="0" fontId="67" fillId="0" borderId="0"/>
    <xf numFmtId="0" fontId="67" fillId="0" borderId="0"/>
    <xf numFmtId="0" fontId="67" fillId="0" borderId="0"/>
    <xf numFmtId="0" fontId="67" fillId="0" borderId="0"/>
    <xf numFmtId="0" fontId="67" fillId="0" borderId="0"/>
    <xf numFmtId="0" fontId="10" fillId="0" borderId="0"/>
    <xf numFmtId="0" fontId="52" fillId="0" borderId="0"/>
    <xf numFmtId="0" fontId="67" fillId="0" borderId="0"/>
    <xf numFmtId="0" fontId="67" fillId="0" borderId="0"/>
    <xf numFmtId="0" fontId="67" fillId="0" borderId="0"/>
    <xf numFmtId="0" fontId="67" fillId="0" borderId="0"/>
    <xf numFmtId="0" fontId="52" fillId="0" borderId="0"/>
    <xf numFmtId="0" fontId="67" fillId="0" borderId="0"/>
    <xf numFmtId="0" fontId="67" fillId="0" borderId="0"/>
    <xf numFmtId="0" fontId="67" fillId="0" borderId="0"/>
    <xf numFmtId="0" fontId="67" fillId="0" borderId="0"/>
    <xf numFmtId="0" fontId="52" fillId="0" borderId="0"/>
    <xf numFmtId="0" fontId="52" fillId="0" borderId="0"/>
    <xf numFmtId="0" fontId="2"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7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4" fillId="0" borderId="0"/>
    <xf numFmtId="0" fontId="52" fillId="0" borderId="0"/>
    <xf numFmtId="0" fontId="52" fillId="0" borderId="0"/>
    <xf numFmtId="0" fontId="58"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67" fillId="0" borderId="0"/>
    <xf numFmtId="0" fontId="67" fillId="0" borderId="0"/>
    <xf numFmtId="0" fontId="67" fillId="0" borderId="0"/>
    <xf numFmtId="0" fontId="67" fillId="0" borderId="0"/>
    <xf numFmtId="0" fontId="55" fillId="0" borderId="0"/>
    <xf numFmtId="0" fontId="67"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67"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67"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67"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67"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198" fontId="55" fillId="0" borderId="0"/>
    <xf numFmtId="0" fontId="67" fillId="0" borderId="0"/>
    <xf numFmtId="0" fontId="67" fillId="0" borderId="0"/>
    <xf numFmtId="0" fontId="67" fillId="0" borderId="0"/>
    <xf numFmtId="0" fontId="67"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67" fillId="0" borderId="0"/>
    <xf numFmtId="0" fontId="10" fillId="0" borderId="0"/>
    <xf numFmtId="0" fontId="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67"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67" fillId="0" borderId="0"/>
    <xf numFmtId="0" fontId="67" fillId="0" borderId="0"/>
    <xf numFmtId="0" fontId="67" fillId="0" borderId="0"/>
    <xf numFmtId="0" fontId="73" fillId="0" borderId="0"/>
    <xf numFmtId="0" fontId="55"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6" fillId="0" borderId="0"/>
    <xf numFmtId="0" fontId="67" fillId="0" borderId="0"/>
    <xf numFmtId="0" fontId="7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7" fillId="0" borderId="0"/>
    <xf numFmtId="0" fontId="7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1" fillId="0" borderId="0"/>
    <xf numFmtId="0" fontId="67" fillId="0" borderId="0"/>
    <xf numFmtId="0" fontId="58" fillId="0" borderId="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16" borderId="11" applyNumberFormat="0" applyAlignment="0" applyProtection="0"/>
    <xf numFmtId="0" fontId="67" fillId="0" borderId="0"/>
    <xf numFmtId="0" fontId="2" fillId="16" borderId="11" applyNumberFormat="0" applyAlignment="0" applyProtection="0"/>
    <xf numFmtId="0" fontId="2" fillId="16" borderId="11" applyNumberFormat="0" applyAlignment="0" applyProtection="0"/>
    <xf numFmtId="0" fontId="2" fillId="16" borderId="11" applyNumberFormat="0" applyAlignment="0" applyProtection="0"/>
    <xf numFmtId="0" fontId="2" fillId="16" borderId="11" applyNumberFormat="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0" fontId="50" fillId="28" borderId="0" applyNumberFormat="0" applyBorder="0" applyAlignment="0" applyProtection="0"/>
    <xf numFmtId="199" fontId="59" fillId="0" borderId="10">
      <alignment horizontal="left" vertical="top" wrapText="1"/>
    </xf>
    <xf numFmtId="0" fontId="67" fillId="0" borderId="0" applyFill="0" applyBorder="0" applyAlignment="0" applyProtection="0"/>
    <xf numFmtId="0" fontId="67" fillId="0" borderId="0" applyFill="0" applyBorder="0" applyAlignment="0" applyProtection="0"/>
    <xf numFmtId="0" fontId="67" fillId="0" borderId="0"/>
    <xf numFmtId="0" fontId="60" fillId="0" borderId="0"/>
    <xf numFmtId="0" fontId="61" fillId="17" borderId="12" applyNumberFormat="0" applyAlignment="0" applyProtection="0"/>
    <xf numFmtId="212" fontId="67" fillId="0" borderId="0" applyFont="0" applyFill="0" applyBorder="0" applyAlignment="0" applyProtection="0"/>
    <xf numFmtId="186" fontId="67" fillId="0" borderId="0" applyFill="0" applyBorder="0" applyAlignment="0" applyProtection="0"/>
    <xf numFmtId="186" fontId="2" fillId="0" borderId="0" applyFill="0" applyBorder="0" applyAlignment="0" applyProtection="0"/>
    <xf numFmtId="200" fontId="67" fillId="0" borderId="0" applyFill="0" applyBorder="0" applyAlignment="0" applyProtection="0"/>
    <xf numFmtId="200" fontId="2" fillId="0" borderId="0" applyFill="0" applyBorder="0" applyAlignment="0" applyProtection="0"/>
    <xf numFmtId="10" fontId="67" fillId="0" borderId="0" applyFill="0" applyBorder="0" applyAlignment="0" applyProtection="0"/>
    <xf numFmtId="10" fontId="2"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10" fontId="67" fillId="0" borderId="0" applyFill="0" applyBorder="0" applyAlignment="0" applyProtection="0"/>
    <xf numFmtId="0" fontId="2" fillId="0" borderId="0" applyFill="0" applyBorder="0" applyAlignment="0" applyProtection="0"/>
    <xf numFmtId="182" fontId="23" fillId="0" borderId="0" applyFill="0" applyBorder="0" applyAlignment="0"/>
    <xf numFmtId="183" fontId="23" fillId="0" borderId="0" applyFill="0" applyBorder="0" applyAlignment="0"/>
    <xf numFmtId="182" fontId="23" fillId="0" borderId="0" applyFill="0" applyBorder="0" applyAlignment="0"/>
    <xf numFmtId="187" fontId="23" fillId="0" borderId="0" applyFill="0" applyBorder="0" applyAlignment="0"/>
    <xf numFmtId="183" fontId="23" fillId="0" borderId="0" applyFill="0" applyBorder="0" applyAlignment="0"/>
    <xf numFmtId="0" fontId="67" fillId="0" borderId="0"/>
    <xf numFmtId="0" fontId="1" fillId="0" borderId="0" applyNumberFormat="0" applyFill="0" applyBorder="0">
      <alignment horizontal="justify"/>
    </xf>
    <xf numFmtId="0" fontId="35" fillId="4" borderId="0" applyNumberFormat="0" applyBorder="0" applyAlignment="0" applyProtection="0"/>
    <xf numFmtId="0" fontId="61" fillId="17" borderId="12" applyNumberFormat="0" applyAlignment="0" applyProtection="0"/>
    <xf numFmtId="0" fontId="67" fillId="29" borderId="0"/>
    <xf numFmtId="201" fontId="67" fillId="0" borderId="0"/>
    <xf numFmtId="0" fontId="1" fillId="0" borderId="0"/>
    <xf numFmtId="0" fontId="1" fillId="0" borderId="0"/>
    <xf numFmtId="0" fontId="67" fillId="0" borderId="0"/>
    <xf numFmtId="0" fontId="67" fillId="0" borderId="0"/>
    <xf numFmtId="0" fontId="1" fillId="0" borderId="0"/>
    <xf numFmtId="0" fontId="4" fillId="16" borderId="0" applyNumberFormat="0" applyBorder="0" applyAlignment="0" applyProtection="0"/>
    <xf numFmtId="0" fontId="6" fillId="0" borderId="0" applyNumberFormat="0" applyFill="0" applyBorder="0" applyAlignment="0" applyProtection="0"/>
    <xf numFmtId="170" fontId="67" fillId="0" borderId="0" applyFill="0" applyBorder="0" applyAlignment="0" applyProtection="0"/>
    <xf numFmtId="174" fontId="67" fillId="0" borderId="0" applyFill="0" applyBorder="0" applyAlignment="0" applyProtection="0"/>
    <xf numFmtId="172" fontId="67" fillId="0" borderId="0" applyFill="0" applyBorder="0" applyAlignment="0" applyProtection="0"/>
    <xf numFmtId="171" fontId="67" fillId="0" borderId="0"/>
    <xf numFmtId="176" fontId="7" fillId="0" borderId="1" applyAlignment="0" applyProtection="0"/>
    <xf numFmtId="168" fontId="67" fillId="0" borderId="0" applyFill="0" applyBorder="0" applyAlignment="0" applyProtection="0"/>
    <xf numFmtId="175" fontId="67" fillId="0" borderId="0" applyFill="0" applyBorder="0" applyAlignment="0" applyProtection="0"/>
    <xf numFmtId="0" fontId="6" fillId="0" borderId="0" applyNumberFormat="0" applyFill="0" applyBorder="0" applyAlignment="0" applyProtection="0"/>
    <xf numFmtId="0" fontId="57" fillId="30" borderId="19">
      <alignment vertical="center" wrapText="1"/>
    </xf>
    <xf numFmtId="174" fontId="67" fillId="0" borderId="0" applyFill="0" applyBorder="0" applyAlignment="0" applyProtection="0"/>
    <xf numFmtId="170" fontId="67" fillId="0" borderId="0" applyFill="0" applyBorder="0" applyAlignment="0" applyProtection="0"/>
    <xf numFmtId="173" fontId="67" fillId="0" borderId="0" applyFill="0" applyBorder="0" applyAlignment="0" applyProtection="0"/>
    <xf numFmtId="0" fontId="67" fillId="0" borderId="0"/>
    <xf numFmtId="0" fontId="6" fillId="0" borderId="0" applyNumberFormat="0" applyFill="0" applyBorder="0" applyAlignment="0" applyProtection="0"/>
    <xf numFmtId="173" fontId="67" fillId="0" borderId="0" applyFill="0" applyBorder="0" applyAlignment="0" applyProtection="0"/>
    <xf numFmtId="0" fontId="6" fillId="0" borderId="0" applyNumberFormat="0" applyFill="0" applyBorder="0" applyAlignment="0" applyProtection="0"/>
    <xf numFmtId="0" fontId="1" fillId="0" borderId="0"/>
    <xf numFmtId="213" fontId="67" fillId="0" borderId="0" applyFill="0" applyBorder="0" applyAlignment="0" applyProtection="0"/>
    <xf numFmtId="0" fontId="8" fillId="0" borderId="0"/>
    <xf numFmtId="40" fontId="2" fillId="0" borderId="0" applyFill="0" applyBorder="0" applyAlignment="0" applyProtection="0"/>
    <xf numFmtId="38" fontId="58" fillId="0" borderId="0" applyBorder="0">
      <alignment horizontal="right"/>
      <protection locked="0"/>
    </xf>
    <xf numFmtId="202" fontId="2" fillId="0" borderId="0" applyFill="0" applyBorder="0" applyAlignment="0" applyProtection="0"/>
    <xf numFmtId="49" fontId="29" fillId="0" borderId="0" applyFill="0" applyBorder="0" applyAlignment="0"/>
    <xf numFmtId="203" fontId="23" fillId="0" borderId="0" applyFill="0" applyBorder="0" applyAlignment="0"/>
    <xf numFmtId="204" fontId="23" fillId="0" borderId="0" applyFill="0" applyBorder="0" applyAlignment="0"/>
    <xf numFmtId="0" fontId="16" fillId="0" borderId="0" applyNumberFormat="0" applyFill="0" applyBorder="0" applyAlignment="0" applyProtection="0"/>
    <xf numFmtId="40" fontId="62" fillId="0" borderId="0"/>
    <xf numFmtId="0" fontId="63" fillId="0" borderId="0" applyFill="0" applyBorder="0" applyAlignment="0"/>
    <xf numFmtId="0" fontId="11" fillId="0" borderId="0" applyNumberFormat="0" applyFill="0" applyBorder="0" applyAlignment="0" applyProtection="0"/>
    <xf numFmtId="0" fontId="11" fillId="0" borderId="0" applyNumberFormat="0" applyFill="0" applyBorder="0" applyAlignment="0" applyProtection="0"/>
    <xf numFmtId="0" fontId="20" fillId="0" borderId="5" applyNumberFormat="0" applyFill="0" applyAlignment="0" applyProtection="0"/>
    <xf numFmtId="0" fontId="21" fillId="0" borderId="6" applyNumberFormat="0" applyFill="0" applyAlignment="0" applyProtection="0"/>
    <xf numFmtId="0" fontId="22" fillId="0" borderId="7" applyNumberFormat="0" applyFill="0" applyAlignment="0" applyProtection="0"/>
    <xf numFmtId="0" fontId="22" fillId="0" borderId="0" applyNumberFormat="0" applyFill="0" applyBorder="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 fillId="0" borderId="0" applyNumberFormat="0" applyFill="0" applyBorder="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4" fillId="0" borderId="20" applyNumberFormat="0" applyFill="0" applyAlignment="0" applyProtection="0"/>
    <xf numFmtId="0" fontId="67" fillId="0" borderId="0"/>
    <xf numFmtId="0" fontId="65" fillId="0" borderId="0">
      <alignment vertical="top"/>
    </xf>
    <xf numFmtId="0" fontId="67"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6" fillId="23" borderId="9" applyNumberFormat="0" applyAlignment="0" applyProtection="0"/>
    <xf numFmtId="0" fontId="67" fillId="0" borderId="0">
      <alignment horizontal="center" textRotation="90"/>
    </xf>
    <xf numFmtId="177" fontId="67" fillId="0" borderId="0" applyFill="0" applyBorder="0" applyAlignment="0" applyProtection="0"/>
    <xf numFmtId="213" fontId="67" fillId="0" borderId="0" applyFill="0" applyBorder="0" applyAlignment="0" applyProtection="0"/>
    <xf numFmtId="174" fontId="67" fillId="0" borderId="0" applyFill="0" applyBorder="0" applyAlignment="0" applyProtection="0"/>
    <xf numFmtId="174" fontId="1" fillId="0" borderId="0" applyFill="0" applyBorder="0" applyAlignment="0" applyProtection="0"/>
    <xf numFmtId="179" fontId="67" fillId="0" borderId="0" applyFill="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20"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205" fontId="67" fillId="0" borderId="0" applyFill="0" applyBorder="0" applyAlignment="0" applyProtection="0"/>
    <xf numFmtId="206" fontId="67" fillId="0" borderId="0" applyFill="0" applyBorder="0" applyAlignment="0" applyProtection="0"/>
    <xf numFmtId="0" fontId="15" fillId="0" borderId="0" applyNumberFormat="0" applyFill="0" applyBorder="0" applyAlignment="0" applyProtection="0"/>
    <xf numFmtId="9" fontId="2" fillId="0" borderId="0" applyFill="0" applyBorder="0" applyAlignment="0" applyProtection="0"/>
    <xf numFmtId="9" fontId="67" fillId="0" borderId="0" applyFont="0" applyFill="0" applyBorder="0" applyAlignment="0" applyProtection="0"/>
    <xf numFmtId="0" fontId="67" fillId="0" borderId="0">
      <alignment vertical="center"/>
    </xf>
  </cellStyleXfs>
  <cellXfs count="232">
    <xf numFmtId="0" fontId="0" fillId="0" borderId="0" xfId="0"/>
    <xf numFmtId="0" fontId="25" fillId="0" borderId="0" xfId="0" applyFont="1" applyFill="1" applyBorder="1" applyAlignment="1" applyProtection="1">
      <alignment vertical="center" readingOrder="1"/>
    </xf>
    <xf numFmtId="0" fontId="0" fillId="0" borderId="0" xfId="0" applyFont="1" applyFill="1" applyBorder="1" applyAlignment="1">
      <alignment vertical="center" readingOrder="1"/>
    </xf>
    <xf numFmtId="0" fontId="0" fillId="0" borderId="0" xfId="0" applyFont="1" applyAlignment="1">
      <alignment vertical="center" readingOrder="1"/>
    </xf>
    <xf numFmtId="0" fontId="0" fillId="0" borderId="0" xfId="0" applyFont="1" applyAlignment="1" applyProtection="1">
      <alignment vertical="center"/>
    </xf>
    <xf numFmtId="214" fontId="0" fillId="0" borderId="0" xfId="0" applyNumberFormat="1"/>
    <xf numFmtId="214" fontId="25" fillId="0" borderId="0" xfId="0" applyNumberFormat="1" applyFont="1" applyFill="1" applyBorder="1" applyAlignment="1" applyProtection="1">
      <alignment vertical="center" readingOrder="1"/>
    </xf>
    <xf numFmtId="214" fontId="0" fillId="0" borderId="0" xfId="0" applyNumberFormat="1" applyFont="1" applyAlignment="1">
      <alignment vertical="center" readingOrder="1"/>
    </xf>
    <xf numFmtId="214" fontId="0" fillId="0" borderId="0" xfId="0" applyNumberFormat="1" applyFont="1" applyAlignment="1" applyProtection="1">
      <alignment vertical="center"/>
    </xf>
    <xf numFmtId="0" fontId="74" fillId="0" borderId="0" xfId="0" applyFont="1" applyAlignment="1">
      <alignment horizontal="center" vertical="center"/>
    </xf>
    <xf numFmtId="0" fontId="0" fillId="0" borderId="0" xfId="0" applyAlignment="1">
      <alignment vertical="center"/>
    </xf>
    <xf numFmtId="214" fontId="0" fillId="0" borderId="0" xfId="0" applyNumberFormat="1" applyAlignment="1">
      <alignment vertical="center"/>
    </xf>
    <xf numFmtId="0" fontId="74" fillId="0" borderId="21" xfId="0" applyFont="1" applyBorder="1" applyAlignment="1">
      <alignment horizontal="center" vertical="center"/>
    </xf>
    <xf numFmtId="49" fontId="25" fillId="32" borderId="22" xfId="0" applyNumberFormat="1" applyFont="1" applyFill="1" applyBorder="1" applyAlignment="1" applyProtection="1">
      <alignment horizontal="center" vertical="center"/>
    </xf>
    <xf numFmtId="0" fontId="25" fillId="32" borderId="23" xfId="0" applyFont="1" applyFill="1" applyBorder="1" applyAlignment="1" applyProtection="1">
      <alignment horizontal="left" vertical="center" wrapText="1"/>
    </xf>
    <xf numFmtId="214" fontId="66" fillId="32" borderId="24" xfId="0" applyNumberFormat="1" applyFont="1" applyFill="1" applyBorder="1" applyAlignment="1">
      <alignment horizontal="center" vertical="center"/>
    </xf>
    <xf numFmtId="0" fontId="75" fillId="0" borderId="18" xfId="0" applyFont="1" applyBorder="1" applyAlignment="1"/>
    <xf numFmtId="0" fontId="75" fillId="0" borderId="0" xfId="0" applyFont="1" applyAlignment="1">
      <alignment horizontal="center"/>
    </xf>
    <xf numFmtId="214" fontId="75" fillId="0" borderId="0" xfId="0" applyNumberFormat="1" applyFont="1" applyAlignment="1">
      <alignment horizontal="center" vertical="center"/>
    </xf>
    <xf numFmtId="0" fontId="75" fillId="0" borderId="0" xfId="0" applyFont="1"/>
    <xf numFmtId="0" fontId="76" fillId="0" borderId="0" xfId="1010" applyFont="1" applyFill="1" applyBorder="1" applyProtection="1"/>
    <xf numFmtId="49" fontId="77" fillId="17" borderId="25" xfId="1344" applyNumberFormat="1" applyFont="1" applyFill="1" applyBorder="1" applyAlignment="1" applyProtection="1">
      <alignment horizontal="center" vertical="center" wrapText="1"/>
    </xf>
    <xf numFmtId="207" fontId="77" fillId="17" borderId="25" xfId="1344" applyNumberFormat="1" applyFont="1" applyFill="1" applyBorder="1" applyAlignment="1" applyProtection="1">
      <alignment horizontal="left" vertical="center" wrapText="1"/>
    </xf>
    <xf numFmtId="207" fontId="77" fillId="17" borderId="25" xfId="1344" applyNumberFormat="1" applyFont="1" applyFill="1" applyBorder="1" applyAlignment="1" applyProtection="1">
      <alignment horizontal="center" vertical="center" wrapText="1"/>
    </xf>
    <xf numFmtId="214" fontId="77" fillId="17" borderId="25" xfId="1344" applyNumberFormat="1" applyFont="1" applyFill="1" applyBorder="1" applyAlignment="1" applyProtection="1">
      <alignment horizontal="center" vertical="center" wrapText="1"/>
    </xf>
    <xf numFmtId="49" fontId="77" fillId="33" borderId="26" xfId="1343" applyNumberFormat="1" applyFont="1" applyFill="1" applyBorder="1" applyAlignment="1" applyProtection="1">
      <alignment horizontal="center" vertical="center"/>
    </xf>
    <xf numFmtId="208" fontId="77" fillId="33" borderId="27" xfId="1343" applyNumberFormat="1" applyFont="1" applyFill="1" applyBorder="1" applyAlignment="1" applyProtection="1">
      <alignment horizontal="left" vertical="center" wrapText="1"/>
      <protection locked="0"/>
    </xf>
    <xf numFmtId="208" fontId="77" fillId="33" borderId="27" xfId="1343" applyNumberFormat="1" applyFont="1" applyFill="1" applyBorder="1" applyAlignment="1" applyProtection="1">
      <alignment horizontal="center" vertical="center" wrapText="1"/>
      <protection locked="0"/>
    </xf>
    <xf numFmtId="208" fontId="77" fillId="33" borderId="27" xfId="1343" applyNumberFormat="1" applyFont="1" applyFill="1" applyBorder="1" applyAlignment="1" applyProtection="1">
      <alignment horizontal="center" vertical="center"/>
      <protection locked="0"/>
    </xf>
    <xf numFmtId="208" fontId="75" fillId="33" borderId="27" xfId="1343" applyNumberFormat="1" applyFont="1" applyFill="1" applyBorder="1" applyAlignment="1" applyProtection="1">
      <alignment horizontal="center" vertical="center"/>
    </xf>
    <xf numFmtId="214" fontId="77" fillId="33" borderId="27" xfId="1343" applyNumberFormat="1" applyFont="1" applyFill="1" applyBorder="1" applyAlignment="1" applyProtection="1">
      <alignment horizontal="center" vertical="center"/>
    </xf>
    <xf numFmtId="214" fontId="77" fillId="33" borderId="27" xfId="1343" applyNumberFormat="1" applyFont="1" applyFill="1" applyBorder="1" applyAlignment="1" applyProtection="1">
      <alignment horizontal="center" vertical="center"/>
      <protection locked="0"/>
    </xf>
    <xf numFmtId="214" fontId="78" fillId="33" borderId="27" xfId="1343" applyNumberFormat="1" applyFont="1" applyFill="1" applyBorder="1" applyAlignment="1" applyProtection="1">
      <alignment horizontal="center" vertical="center"/>
      <protection locked="0"/>
    </xf>
    <xf numFmtId="214" fontId="77" fillId="33" borderId="28" xfId="1343" applyNumberFormat="1" applyFont="1" applyFill="1" applyBorder="1" applyAlignment="1" applyProtection="1">
      <alignment horizontal="center" vertical="center"/>
    </xf>
    <xf numFmtId="0" fontId="75" fillId="31" borderId="0" xfId="0" applyFont="1" applyFill="1"/>
    <xf numFmtId="0" fontId="75" fillId="0" borderId="0" xfId="0" applyFont="1" applyFill="1"/>
    <xf numFmtId="214" fontId="75" fillId="33" borderId="27" xfId="1343" applyNumberFormat="1" applyFont="1" applyFill="1" applyBorder="1" applyAlignment="1" applyProtection="1">
      <alignment horizontal="center" vertical="center"/>
    </xf>
    <xf numFmtId="214" fontId="75" fillId="33" borderId="27" xfId="1343" applyNumberFormat="1" applyFont="1" applyFill="1" applyBorder="1" applyAlignment="1" applyProtection="1">
      <alignment horizontal="center" vertical="center"/>
      <protection locked="0"/>
    </xf>
    <xf numFmtId="214" fontId="79" fillId="33" borderId="27" xfId="1343" applyNumberFormat="1" applyFont="1" applyFill="1" applyBorder="1" applyAlignment="1" applyProtection="1">
      <alignment horizontal="center" vertical="center"/>
      <protection locked="0"/>
    </xf>
    <xf numFmtId="208" fontId="77" fillId="32" borderId="27" xfId="1343" applyNumberFormat="1" applyFont="1" applyFill="1" applyBorder="1" applyAlignment="1" applyProtection="1">
      <alignment horizontal="left" vertical="center" wrapText="1"/>
      <protection locked="0"/>
    </xf>
    <xf numFmtId="208" fontId="77" fillId="32" borderId="27" xfId="1343" applyNumberFormat="1" applyFont="1" applyFill="1" applyBorder="1" applyAlignment="1" applyProtection="1">
      <alignment horizontal="center" vertical="center" wrapText="1"/>
      <protection locked="0"/>
    </xf>
    <xf numFmtId="208" fontId="75" fillId="31" borderId="27" xfId="1344" applyNumberFormat="1" applyFont="1" applyFill="1" applyBorder="1" applyAlignment="1" applyProtection="1">
      <alignment horizontal="center" vertical="center"/>
      <protection locked="0"/>
    </xf>
    <xf numFmtId="4" fontId="75" fillId="31" borderId="27" xfId="1344" applyNumberFormat="1" applyFont="1" applyFill="1" applyBorder="1" applyAlignment="1" applyProtection="1">
      <alignment horizontal="center" vertical="center"/>
      <protection locked="0"/>
    </xf>
    <xf numFmtId="214" fontId="75" fillId="31" borderId="27" xfId="1344" applyNumberFormat="1" applyFont="1" applyFill="1" applyBorder="1" applyAlignment="1" applyProtection="1">
      <alignment horizontal="center" vertical="center"/>
    </xf>
    <xf numFmtId="214" fontId="75" fillId="31" borderId="27" xfId="1344" applyNumberFormat="1" applyFont="1" applyFill="1" applyBorder="1" applyAlignment="1" applyProtection="1">
      <alignment horizontal="center" vertical="center"/>
      <protection locked="0"/>
    </xf>
    <xf numFmtId="214" fontId="75" fillId="31" borderId="28" xfId="1344" applyNumberFormat="1" applyFont="1" applyFill="1" applyBorder="1" applyAlignment="1" applyProtection="1">
      <alignment horizontal="center" vertical="center"/>
    </xf>
    <xf numFmtId="49" fontId="75" fillId="34" borderId="26" xfId="1344" quotePrefix="1" applyNumberFormat="1" applyFont="1" applyFill="1" applyBorder="1" applyAlignment="1" applyProtection="1">
      <alignment horizontal="center" vertical="center"/>
    </xf>
    <xf numFmtId="208" fontId="75" fillId="34" borderId="27" xfId="1344" applyNumberFormat="1" applyFont="1" applyFill="1" applyBorder="1" applyAlignment="1" applyProtection="1">
      <alignment horizontal="left" vertical="center"/>
      <protection locked="0"/>
    </xf>
    <xf numFmtId="208" fontId="75" fillId="34" borderId="27" xfId="1344" applyNumberFormat="1" applyFont="1" applyFill="1" applyBorder="1" applyAlignment="1" applyProtection="1">
      <alignment horizontal="center" vertical="center"/>
      <protection locked="0"/>
    </xf>
    <xf numFmtId="4" fontId="75" fillId="34" borderId="27" xfId="1344" applyNumberFormat="1" applyFont="1" applyFill="1" applyBorder="1" applyAlignment="1" applyProtection="1">
      <alignment horizontal="center" vertical="center"/>
      <protection locked="0"/>
    </xf>
    <xf numFmtId="214" fontId="75" fillId="34" borderId="27" xfId="1344" applyNumberFormat="1" applyFont="1" applyFill="1" applyBorder="1" applyAlignment="1" applyProtection="1">
      <alignment horizontal="center" vertical="center"/>
    </xf>
    <xf numFmtId="214" fontId="75" fillId="0" borderId="27" xfId="1344" applyNumberFormat="1" applyFont="1" applyFill="1" applyBorder="1" applyAlignment="1" applyProtection="1">
      <alignment horizontal="center" vertical="center"/>
    </xf>
    <xf numFmtId="214" fontId="75" fillId="34" borderId="28" xfId="1344" applyNumberFormat="1" applyFont="1" applyFill="1" applyBorder="1" applyAlignment="1" applyProtection="1">
      <alignment horizontal="center" vertical="center"/>
    </xf>
    <xf numFmtId="0" fontId="75" fillId="34" borderId="0" xfId="0" applyFont="1" applyFill="1"/>
    <xf numFmtId="214" fontId="75" fillId="34" borderId="27" xfId="1344" applyNumberFormat="1" applyFont="1" applyFill="1" applyBorder="1" applyAlignment="1" applyProtection="1">
      <alignment horizontal="center" vertical="center"/>
      <protection locked="0"/>
    </xf>
    <xf numFmtId="4" fontId="75" fillId="0" borderId="27" xfId="1344" applyNumberFormat="1" applyFont="1" applyFill="1" applyBorder="1" applyAlignment="1" applyProtection="1">
      <alignment horizontal="center" vertical="center"/>
      <protection locked="0"/>
    </xf>
    <xf numFmtId="214" fontId="75" fillId="0" borderId="27" xfId="1344" applyNumberFormat="1" applyFont="1" applyFill="1" applyBorder="1" applyAlignment="1" applyProtection="1">
      <alignment horizontal="center" vertical="center"/>
      <protection locked="0"/>
    </xf>
    <xf numFmtId="208" fontId="75" fillId="0" borderId="27" xfId="1344" applyNumberFormat="1" applyFont="1" applyFill="1" applyBorder="1" applyAlignment="1" applyProtection="1">
      <alignment horizontal="left" vertical="center"/>
      <protection locked="0"/>
    </xf>
    <xf numFmtId="208" fontId="75" fillId="0" borderId="27" xfId="1344" applyNumberFormat="1" applyFont="1" applyFill="1" applyBorder="1" applyAlignment="1" applyProtection="1">
      <alignment horizontal="center" vertical="center"/>
      <protection locked="0"/>
    </xf>
    <xf numFmtId="214" fontId="75" fillId="0" borderId="28" xfId="1344" applyNumberFormat="1" applyFont="1" applyFill="1" applyBorder="1" applyAlignment="1" applyProtection="1">
      <alignment horizontal="center" vertical="center"/>
    </xf>
    <xf numFmtId="49" fontId="75" fillId="35" borderId="26" xfId="1344" quotePrefix="1" applyNumberFormat="1" applyFont="1" applyFill="1" applyBorder="1" applyAlignment="1" applyProtection="1">
      <alignment horizontal="center" vertical="center"/>
    </xf>
    <xf numFmtId="208" fontId="75" fillId="34" borderId="27" xfId="1344" applyNumberFormat="1" applyFont="1" applyFill="1" applyBorder="1" applyAlignment="1" applyProtection="1">
      <alignment horizontal="center" vertical="center" wrapText="1"/>
      <protection locked="0"/>
    </xf>
    <xf numFmtId="49" fontId="77" fillId="36" borderId="26" xfId="1343" applyNumberFormat="1" applyFont="1" applyFill="1" applyBorder="1" applyAlignment="1" applyProtection="1">
      <alignment horizontal="center" vertical="center"/>
    </xf>
    <xf numFmtId="208" fontId="77" fillId="36" borderId="27" xfId="1343" applyNumberFormat="1" applyFont="1" applyFill="1" applyBorder="1" applyAlignment="1" applyProtection="1">
      <alignment horizontal="right" vertical="center" wrapText="1"/>
      <protection locked="0"/>
    </xf>
    <xf numFmtId="208" fontId="77" fillId="36" borderId="27" xfId="1343" applyNumberFormat="1" applyFont="1" applyFill="1" applyBorder="1" applyAlignment="1" applyProtection="1">
      <alignment horizontal="center" vertical="center" wrapText="1"/>
      <protection locked="0"/>
    </xf>
    <xf numFmtId="208" fontId="77" fillId="36" borderId="27" xfId="1343" applyNumberFormat="1" applyFont="1" applyFill="1" applyBorder="1" applyAlignment="1" applyProtection="1">
      <alignment horizontal="center" vertical="center"/>
      <protection locked="0"/>
    </xf>
    <xf numFmtId="208" fontId="75" fillId="36" borderId="27" xfId="1343" applyNumberFormat="1" applyFont="1" applyFill="1" applyBorder="1" applyAlignment="1" applyProtection="1">
      <alignment horizontal="center" vertical="center"/>
    </xf>
    <xf numFmtId="214" fontId="77" fillId="36" borderId="27" xfId="1343" applyNumberFormat="1" applyFont="1" applyFill="1" applyBorder="1" applyAlignment="1" applyProtection="1">
      <alignment horizontal="center" vertical="center"/>
    </xf>
    <xf numFmtId="214" fontId="78" fillId="36" borderId="27" xfId="1343" applyNumberFormat="1" applyFont="1" applyFill="1" applyBorder="1" applyAlignment="1" applyProtection="1">
      <alignment horizontal="center" vertical="center"/>
      <protection locked="0"/>
    </xf>
    <xf numFmtId="214" fontId="77" fillId="36" borderId="28" xfId="1343" applyNumberFormat="1" applyFont="1" applyFill="1" applyBorder="1" applyAlignment="1" applyProtection="1">
      <alignment horizontal="center" vertical="center"/>
    </xf>
    <xf numFmtId="49" fontId="75" fillId="0" borderId="26" xfId="1344" applyNumberFormat="1" applyFont="1" applyFill="1" applyBorder="1" applyAlignment="1" applyProtection="1">
      <alignment horizontal="center" vertical="center"/>
    </xf>
    <xf numFmtId="208" fontId="77" fillId="31" borderId="27" xfId="1343" applyNumberFormat="1" applyFont="1" applyFill="1" applyBorder="1" applyAlignment="1" applyProtection="1">
      <alignment horizontal="center" vertical="center" wrapText="1"/>
      <protection locked="0"/>
    </xf>
    <xf numFmtId="214" fontId="77" fillId="31" borderId="27" xfId="1343" applyNumberFormat="1" applyFont="1" applyFill="1" applyBorder="1" applyAlignment="1" applyProtection="1">
      <alignment horizontal="center" vertical="center"/>
    </xf>
    <xf numFmtId="214" fontId="77" fillId="31" borderId="27" xfId="1343" applyNumberFormat="1" applyFont="1" applyFill="1" applyBorder="1" applyAlignment="1" applyProtection="1">
      <alignment horizontal="center" vertical="center"/>
      <protection locked="0"/>
    </xf>
    <xf numFmtId="214" fontId="78" fillId="31" borderId="27" xfId="1343" applyNumberFormat="1" applyFont="1" applyFill="1" applyBorder="1" applyAlignment="1" applyProtection="1">
      <alignment horizontal="center" vertical="center"/>
      <protection locked="0"/>
    </xf>
    <xf numFmtId="214" fontId="77" fillId="31" borderId="28" xfId="1343" applyNumberFormat="1" applyFont="1" applyFill="1" applyBorder="1" applyAlignment="1" applyProtection="1">
      <alignment horizontal="center" vertical="center"/>
    </xf>
    <xf numFmtId="208" fontId="75" fillId="37" borderId="27" xfId="1344" applyNumberFormat="1" applyFont="1" applyFill="1" applyBorder="1" applyAlignment="1" applyProtection="1">
      <alignment horizontal="center" vertical="center"/>
      <protection locked="0"/>
    </xf>
    <xf numFmtId="4" fontId="75" fillId="37" borderId="27" xfId="1344" applyNumberFormat="1" applyFont="1" applyFill="1" applyBorder="1" applyAlignment="1" applyProtection="1">
      <alignment horizontal="center" vertical="center"/>
      <protection locked="0"/>
    </xf>
    <xf numFmtId="0" fontId="75" fillId="37" borderId="0" xfId="0" applyFont="1" applyFill="1"/>
    <xf numFmtId="208" fontId="77" fillId="34" borderId="27" xfId="1343" applyNumberFormat="1" applyFont="1" applyFill="1" applyBorder="1" applyAlignment="1" applyProtection="1">
      <alignment horizontal="center" vertical="center" wrapText="1"/>
      <protection locked="0"/>
    </xf>
    <xf numFmtId="208" fontId="77" fillId="34" borderId="27" xfId="1343" applyNumberFormat="1" applyFont="1" applyFill="1" applyBorder="1" applyAlignment="1" applyProtection="1">
      <alignment horizontal="center" vertical="center"/>
      <protection locked="0"/>
    </xf>
    <xf numFmtId="208" fontId="75" fillId="34" borderId="27" xfId="1343" applyNumberFormat="1" applyFont="1" applyFill="1" applyBorder="1" applyAlignment="1" applyProtection="1">
      <alignment horizontal="center" vertical="center"/>
    </xf>
    <xf numFmtId="214" fontId="77" fillId="34" borderId="27" xfId="1343" applyNumberFormat="1" applyFont="1" applyFill="1" applyBorder="1" applyAlignment="1" applyProtection="1">
      <alignment horizontal="center" vertical="center"/>
    </xf>
    <xf numFmtId="214" fontId="77" fillId="34" borderId="27" xfId="1343" applyNumberFormat="1" applyFont="1" applyFill="1" applyBorder="1" applyAlignment="1" applyProtection="1">
      <alignment horizontal="center" vertical="center"/>
      <protection locked="0"/>
    </xf>
    <xf numFmtId="214" fontId="78" fillId="34" borderId="27" xfId="1343" applyNumberFormat="1" applyFont="1" applyFill="1" applyBorder="1" applyAlignment="1" applyProtection="1">
      <alignment horizontal="center" vertical="center"/>
      <protection locked="0"/>
    </xf>
    <xf numFmtId="214" fontId="77" fillId="34" borderId="28" xfId="1343" applyNumberFormat="1" applyFont="1" applyFill="1" applyBorder="1" applyAlignment="1" applyProtection="1">
      <alignment horizontal="center" vertical="center"/>
    </xf>
    <xf numFmtId="208" fontId="75" fillId="38" borderId="27" xfId="1344" applyNumberFormat="1" applyFont="1" applyFill="1" applyBorder="1" applyAlignment="1" applyProtection="1">
      <alignment horizontal="center" vertical="center"/>
      <protection locked="0"/>
    </xf>
    <xf numFmtId="214" fontId="75" fillId="38" borderId="27" xfId="1344" applyNumberFormat="1" applyFont="1" applyFill="1" applyBorder="1" applyAlignment="1" applyProtection="1">
      <alignment horizontal="center" vertical="center"/>
    </xf>
    <xf numFmtId="214" fontId="75" fillId="38" borderId="27" xfId="1344" applyNumberFormat="1" applyFont="1" applyFill="1" applyBorder="1" applyAlignment="1" applyProtection="1">
      <alignment horizontal="center" vertical="center"/>
      <protection locked="0"/>
    </xf>
    <xf numFmtId="214" fontId="75" fillId="38" borderId="28" xfId="1344" applyNumberFormat="1" applyFont="1" applyFill="1" applyBorder="1" applyAlignment="1" applyProtection="1">
      <alignment horizontal="center" vertical="center"/>
    </xf>
    <xf numFmtId="0" fontId="75" fillId="38" borderId="0" xfId="0" applyFont="1" applyFill="1"/>
    <xf numFmtId="208" fontId="76" fillId="37" borderId="27" xfId="1344" applyNumberFormat="1" applyFont="1" applyFill="1" applyBorder="1" applyAlignment="1" applyProtection="1">
      <alignment horizontal="center" vertical="center"/>
      <protection locked="0"/>
    </xf>
    <xf numFmtId="214" fontId="75" fillId="37" borderId="27" xfId="1344" applyNumberFormat="1" applyFont="1" applyFill="1" applyBorder="1" applyAlignment="1" applyProtection="1">
      <alignment horizontal="center" vertical="center"/>
    </xf>
    <xf numFmtId="214" fontId="75" fillId="37" borderId="28" xfId="1344" applyNumberFormat="1" applyFont="1" applyFill="1" applyBorder="1" applyAlignment="1" applyProtection="1">
      <alignment horizontal="center" vertical="center"/>
    </xf>
    <xf numFmtId="49" fontId="77" fillId="0" borderId="26" xfId="1343" applyNumberFormat="1" applyFont="1" applyFill="1" applyBorder="1" applyAlignment="1" applyProtection="1">
      <alignment horizontal="center" vertical="center"/>
    </xf>
    <xf numFmtId="208" fontId="77" fillId="0" borderId="27" xfId="1343" applyNumberFormat="1" applyFont="1" applyFill="1" applyBorder="1" applyAlignment="1" applyProtection="1">
      <alignment horizontal="right" vertical="center" wrapText="1"/>
      <protection locked="0"/>
    </xf>
    <xf numFmtId="208" fontId="77" fillId="0" borderId="27" xfId="1343" applyNumberFormat="1" applyFont="1" applyFill="1" applyBorder="1" applyAlignment="1" applyProtection="1">
      <alignment horizontal="center" vertical="center" wrapText="1"/>
      <protection locked="0"/>
    </xf>
    <xf numFmtId="208" fontId="77" fillId="0" borderId="27" xfId="1343" applyNumberFormat="1" applyFont="1" applyFill="1" applyBorder="1" applyAlignment="1" applyProtection="1">
      <alignment horizontal="center" vertical="center"/>
      <protection locked="0"/>
    </xf>
    <xf numFmtId="208" fontId="75" fillId="0" borderId="27" xfId="1343" applyNumberFormat="1" applyFont="1" applyFill="1" applyBorder="1" applyAlignment="1" applyProtection="1">
      <alignment horizontal="center" vertical="center"/>
    </xf>
    <xf numFmtId="214" fontId="77" fillId="0" borderId="27" xfId="1343" applyNumberFormat="1" applyFont="1" applyFill="1" applyBorder="1" applyAlignment="1" applyProtection="1">
      <alignment horizontal="center" vertical="center"/>
    </xf>
    <xf numFmtId="214" fontId="78" fillId="0" borderId="27" xfId="1343" applyNumberFormat="1" applyFont="1" applyFill="1" applyBorder="1" applyAlignment="1" applyProtection="1">
      <alignment horizontal="center" vertical="center"/>
      <protection locked="0"/>
    </xf>
    <xf numFmtId="214" fontId="77" fillId="0" borderId="28" xfId="1343" applyNumberFormat="1" applyFont="1" applyFill="1" applyBorder="1" applyAlignment="1" applyProtection="1">
      <alignment horizontal="center" vertical="center"/>
    </xf>
    <xf numFmtId="214" fontId="77" fillId="0" borderId="27" xfId="1343" applyNumberFormat="1" applyFont="1" applyFill="1" applyBorder="1" applyAlignment="1" applyProtection="1">
      <alignment horizontal="center" vertical="center"/>
      <protection locked="0"/>
    </xf>
    <xf numFmtId="208" fontId="76" fillId="34" borderId="27" xfId="1344" applyNumberFormat="1" applyFont="1" applyFill="1" applyBorder="1" applyAlignment="1" applyProtection="1">
      <alignment horizontal="center" vertical="center" wrapText="1"/>
      <protection locked="0"/>
    </xf>
    <xf numFmtId="214" fontId="75" fillId="0" borderId="27" xfId="0" applyNumberFormat="1" applyFont="1" applyBorder="1" applyAlignment="1">
      <alignment horizontal="center" vertical="center"/>
    </xf>
    <xf numFmtId="214" fontId="75" fillId="0" borderId="28" xfId="0" applyNumberFormat="1" applyFont="1" applyBorder="1" applyAlignment="1">
      <alignment horizontal="center" vertical="center"/>
    </xf>
    <xf numFmtId="4" fontId="75" fillId="39" borderId="27" xfId="1344" applyNumberFormat="1" applyFont="1" applyFill="1" applyBorder="1" applyAlignment="1" applyProtection="1">
      <alignment horizontal="center" vertical="center"/>
      <protection locked="0"/>
    </xf>
    <xf numFmtId="0" fontId="75" fillId="39" borderId="0" xfId="0" applyFont="1" applyFill="1"/>
    <xf numFmtId="0" fontId="75" fillId="37" borderId="0" xfId="0" applyFont="1" applyFill="1" applyBorder="1" applyAlignment="1">
      <alignment horizontal="center"/>
    </xf>
    <xf numFmtId="214" fontId="75" fillId="37" borderId="27" xfId="1344" applyNumberFormat="1" applyFont="1" applyFill="1" applyBorder="1" applyAlignment="1" applyProtection="1">
      <alignment horizontal="center" vertical="center"/>
      <protection locked="0"/>
    </xf>
    <xf numFmtId="208" fontId="76" fillId="37" borderId="27" xfId="1344" applyNumberFormat="1" applyFont="1" applyFill="1" applyBorder="1" applyAlignment="1" applyProtection="1">
      <alignment horizontal="center" vertical="center" wrapText="1"/>
      <protection locked="0"/>
    </xf>
    <xf numFmtId="208" fontId="76" fillId="37" borderId="27" xfId="1344" applyNumberFormat="1" applyFont="1" applyFill="1" applyBorder="1" applyAlignment="1" applyProtection="1">
      <alignment horizontal="left" vertical="center"/>
      <protection locked="0"/>
    </xf>
    <xf numFmtId="49" fontId="77" fillId="32" borderId="26" xfId="1343" applyNumberFormat="1" applyFont="1" applyFill="1" applyBorder="1" applyAlignment="1" applyProtection="1">
      <alignment horizontal="center" vertical="center"/>
    </xf>
    <xf numFmtId="208" fontId="77" fillId="32" borderId="27" xfId="1343" applyNumberFormat="1" applyFont="1" applyFill="1" applyBorder="1" applyAlignment="1" applyProtection="1">
      <alignment horizontal="center" vertical="center"/>
      <protection locked="0"/>
    </xf>
    <xf numFmtId="208" fontId="75" fillId="32" borderId="27" xfId="1343" applyNumberFormat="1" applyFont="1" applyFill="1" applyBorder="1" applyAlignment="1" applyProtection="1">
      <alignment horizontal="center" vertical="center"/>
    </xf>
    <xf numFmtId="214" fontId="77" fillId="32" borderId="27" xfId="1343" applyNumberFormat="1" applyFont="1" applyFill="1" applyBorder="1" applyAlignment="1" applyProtection="1">
      <alignment horizontal="center" vertical="center"/>
    </xf>
    <xf numFmtId="214" fontId="77" fillId="32" borderId="27" xfId="1343" applyNumberFormat="1" applyFont="1" applyFill="1" applyBorder="1" applyAlignment="1" applyProtection="1">
      <alignment horizontal="center" vertical="center"/>
      <protection locked="0"/>
    </xf>
    <xf numFmtId="214" fontId="78" fillId="32" borderId="27" xfId="1343" applyNumberFormat="1" applyFont="1" applyFill="1" applyBorder="1" applyAlignment="1" applyProtection="1">
      <alignment horizontal="center" vertical="center"/>
      <protection locked="0"/>
    </xf>
    <xf numFmtId="214" fontId="77" fillId="32" borderId="28" xfId="1343" applyNumberFormat="1" applyFont="1" applyFill="1" applyBorder="1" applyAlignment="1" applyProtection="1">
      <alignment horizontal="center" vertical="center"/>
    </xf>
    <xf numFmtId="0" fontId="75" fillId="35" borderId="0" xfId="0" applyFont="1" applyFill="1"/>
    <xf numFmtId="214" fontId="75" fillId="34" borderId="29" xfId="1344" applyNumberFormat="1" applyFont="1" applyFill="1" applyBorder="1" applyAlignment="1" applyProtection="1">
      <alignment horizontal="center" vertical="center"/>
    </xf>
    <xf numFmtId="49" fontId="75" fillId="40" borderId="26" xfId="1344" applyNumberFormat="1" applyFont="1" applyFill="1" applyBorder="1" applyAlignment="1" applyProtection="1">
      <alignment horizontal="center" vertical="center"/>
    </xf>
    <xf numFmtId="49" fontId="75" fillId="31" borderId="26" xfId="1344" applyNumberFormat="1" applyFont="1" applyFill="1" applyBorder="1" applyAlignment="1" applyProtection="1">
      <alignment horizontal="center" vertical="center"/>
    </xf>
    <xf numFmtId="214" fontId="77" fillId="33" borderId="27" xfId="1343" applyNumberFormat="1" applyFont="1" applyFill="1" applyBorder="1" applyAlignment="1" applyProtection="1">
      <alignment horizontal="center" vertical="center" wrapText="1"/>
      <protection locked="0"/>
    </xf>
    <xf numFmtId="214" fontId="77" fillId="33" borderId="28" xfId="1343" applyNumberFormat="1" applyFont="1" applyFill="1" applyBorder="1" applyAlignment="1" applyProtection="1">
      <alignment horizontal="center" vertical="center" wrapText="1"/>
      <protection locked="0"/>
    </xf>
    <xf numFmtId="208" fontId="75" fillId="40" borderId="27" xfId="1344" applyNumberFormat="1" applyFont="1" applyFill="1" applyBorder="1" applyAlignment="1" applyProtection="1">
      <alignment horizontal="center" vertical="center"/>
      <protection locked="0"/>
    </xf>
    <xf numFmtId="4" fontId="75" fillId="36" borderId="27" xfId="1344" applyNumberFormat="1" applyFont="1" applyFill="1" applyBorder="1" applyAlignment="1" applyProtection="1">
      <alignment horizontal="center" vertical="center"/>
      <protection locked="0"/>
    </xf>
    <xf numFmtId="214" fontId="77" fillId="40" borderId="27" xfId="1344" applyNumberFormat="1" applyFont="1" applyFill="1" applyBorder="1" applyAlignment="1" applyProtection="1">
      <alignment horizontal="center" vertical="center"/>
    </xf>
    <xf numFmtId="208" fontId="75" fillId="33" borderId="27" xfId="1343" applyNumberFormat="1" applyFont="1" applyFill="1" applyBorder="1" applyAlignment="1" applyProtection="1">
      <alignment horizontal="center" vertical="center" wrapText="1"/>
      <protection locked="0"/>
    </xf>
    <xf numFmtId="0" fontId="80" fillId="34" borderId="0" xfId="0" applyFont="1" applyFill="1"/>
    <xf numFmtId="208" fontId="77" fillId="36" borderId="27" xfId="1343" applyNumberFormat="1" applyFont="1" applyFill="1" applyBorder="1" applyAlignment="1" applyProtection="1">
      <alignment horizontal="left" vertical="center" wrapText="1"/>
      <protection locked="0"/>
    </xf>
    <xf numFmtId="214" fontId="75" fillId="0" borderId="30" xfId="1344" applyNumberFormat="1" applyFont="1" applyFill="1" applyBorder="1" applyAlignment="1" applyProtection="1">
      <alignment horizontal="center" vertical="center"/>
    </xf>
    <xf numFmtId="214" fontId="75" fillId="0" borderId="30" xfId="1344" applyNumberFormat="1" applyFont="1" applyFill="1" applyBorder="1" applyAlignment="1" applyProtection="1">
      <alignment horizontal="center" vertical="center"/>
      <protection locked="0"/>
    </xf>
    <xf numFmtId="214" fontId="75" fillId="34" borderId="30" xfId="1344" applyNumberFormat="1" applyFont="1" applyFill="1" applyBorder="1" applyAlignment="1" applyProtection="1">
      <alignment horizontal="center" vertical="center"/>
    </xf>
    <xf numFmtId="214" fontId="75" fillId="34" borderId="31" xfId="1344" applyNumberFormat="1" applyFont="1" applyFill="1" applyBorder="1" applyAlignment="1" applyProtection="1">
      <alignment horizontal="center" vertical="center"/>
    </xf>
    <xf numFmtId="208" fontId="75" fillId="34" borderId="30" xfId="1344" applyNumberFormat="1" applyFont="1" applyFill="1" applyBorder="1" applyAlignment="1" applyProtection="1">
      <alignment horizontal="left" vertical="center"/>
      <protection locked="0"/>
    </xf>
    <xf numFmtId="208" fontId="75" fillId="34" borderId="30" xfId="1344" applyNumberFormat="1" applyFont="1" applyFill="1" applyBorder="1" applyAlignment="1" applyProtection="1">
      <alignment horizontal="center" vertical="center"/>
      <protection locked="0"/>
    </xf>
    <xf numFmtId="208" fontId="75" fillId="37" borderId="30" xfId="1344" applyNumberFormat="1" applyFont="1" applyFill="1" applyBorder="1" applyAlignment="1" applyProtection="1">
      <alignment horizontal="center" vertical="center"/>
      <protection locked="0"/>
    </xf>
    <xf numFmtId="4" fontId="75" fillId="34" borderId="30" xfId="1344" applyNumberFormat="1" applyFont="1" applyFill="1" applyBorder="1" applyAlignment="1" applyProtection="1">
      <alignment horizontal="center" vertical="center"/>
      <protection locked="0"/>
    </xf>
    <xf numFmtId="49" fontId="75" fillId="34" borderId="32" xfId="1344" applyNumberFormat="1" applyFont="1" applyFill="1" applyBorder="1" applyAlignment="1" applyProtection="1">
      <alignment horizontal="center" vertical="center"/>
    </xf>
    <xf numFmtId="49" fontId="75" fillId="31" borderId="32" xfId="1344" applyNumberFormat="1" applyFont="1" applyFill="1" applyBorder="1" applyAlignment="1" applyProtection="1">
      <alignment horizontal="center" vertical="center"/>
    </xf>
    <xf numFmtId="208" fontId="75" fillId="31" borderId="30" xfId="1344" applyNumberFormat="1" applyFont="1" applyFill="1" applyBorder="1" applyAlignment="1" applyProtection="1">
      <alignment horizontal="left" vertical="center"/>
      <protection locked="0"/>
    </xf>
    <xf numFmtId="208" fontId="75" fillId="31" borderId="30" xfId="1344" applyNumberFormat="1" applyFont="1" applyFill="1" applyBorder="1" applyAlignment="1" applyProtection="1">
      <alignment horizontal="center" vertical="center"/>
      <protection locked="0"/>
    </xf>
    <xf numFmtId="4" fontId="75" fillId="31" borderId="30" xfId="1344" applyNumberFormat="1" applyFont="1" applyFill="1" applyBorder="1" applyAlignment="1" applyProtection="1">
      <alignment horizontal="center" vertical="center"/>
      <protection locked="0"/>
    </xf>
    <xf numFmtId="214" fontId="75" fillId="31" borderId="30" xfId="1344" applyNumberFormat="1" applyFont="1" applyFill="1" applyBorder="1" applyAlignment="1" applyProtection="1">
      <alignment horizontal="center" vertical="center"/>
    </xf>
    <xf numFmtId="214" fontId="75" fillId="31" borderId="30" xfId="1344" applyNumberFormat="1" applyFont="1" applyFill="1" applyBorder="1" applyAlignment="1" applyProtection="1">
      <alignment horizontal="center" vertical="center"/>
      <protection locked="0"/>
    </xf>
    <xf numFmtId="214" fontId="75" fillId="31" borderId="31" xfId="1344" applyNumberFormat="1" applyFont="1" applyFill="1" applyBorder="1" applyAlignment="1" applyProtection="1">
      <alignment horizontal="center" vertical="center"/>
    </xf>
    <xf numFmtId="208" fontId="75" fillId="34" borderId="27" xfId="1344" applyNumberFormat="1" applyFont="1" applyFill="1" applyBorder="1" applyAlignment="1" applyProtection="1">
      <alignment horizontal="left" vertical="center" wrapText="1"/>
      <protection locked="0"/>
    </xf>
    <xf numFmtId="214" fontId="75" fillId="34" borderId="33" xfId="1344" applyNumberFormat="1" applyFont="1" applyFill="1" applyBorder="1" applyAlignment="1" applyProtection="1">
      <alignment horizontal="center" vertical="center"/>
    </xf>
    <xf numFmtId="208" fontId="75" fillId="34" borderId="30" xfId="1344" applyNumberFormat="1" applyFont="1" applyFill="1" applyBorder="1" applyAlignment="1" applyProtection="1">
      <alignment horizontal="left" vertical="center" wrapText="1"/>
      <protection locked="0"/>
    </xf>
    <xf numFmtId="49" fontId="77" fillId="34" borderId="26" xfId="1343" applyNumberFormat="1" applyFont="1" applyFill="1" applyBorder="1" applyAlignment="1" applyProtection="1">
      <alignment horizontal="center" vertical="center"/>
    </xf>
    <xf numFmtId="208" fontId="77" fillId="34" borderId="27" xfId="1343" applyNumberFormat="1" applyFont="1" applyFill="1" applyBorder="1" applyAlignment="1" applyProtection="1">
      <alignment horizontal="left" vertical="center" wrapText="1"/>
      <protection locked="0"/>
    </xf>
    <xf numFmtId="49" fontId="75" fillId="35" borderId="26" xfId="1344" applyNumberFormat="1" applyFont="1" applyFill="1" applyBorder="1" applyAlignment="1" applyProtection="1">
      <alignment horizontal="center" vertical="center"/>
    </xf>
    <xf numFmtId="208" fontId="75" fillId="37" borderId="27" xfId="1344" applyNumberFormat="1" applyFont="1" applyFill="1" applyBorder="1" applyAlignment="1" applyProtection="1">
      <alignment horizontal="left" vertical="center"/>
      <protection locked="0"/>
    </xf>
    <xf numFmtId="49" fontId="75" fillId="34" borderId="26" xfId="1344" applyNumberFormat="1" applyFont="1" applyFill="1" applyBorder="1" applyAlignment="1" applyProtection="1">
      <alignment horizontal="center" vertical="center"/>
    </xf>
    <xf numFmtId="208" fontId="75" fillId="38" borderId="27" xfId="1344" applyNumberFormat="1" applyFont="1" applyFill="1" applyBorder="1" applyAlignment="1" applyProtection="1">
      <alignment horizontal="left" vertical="center"/>
      <protection locked="0"/>
    </xf>
    <xf numFmtId="49" fontId="77" fillId="34" borderId="26" xfId="1343" quotePrefix="1" applyNumberFormat="1" applyFont="1" applyFill="1" applyBorder="1" applyAlignment="1" applyProtection="1">
      <alignment horizontal="center" vertical="center"/>
    </xf>
    <xf numFmtId="49" fontId="76" fillId="35" borderId="26" xfId="1344" applyNumberFormat="1" applyFont="1" applyFill="1" applyBorder="1" applyAlignment="1" applyProtection="1">
      <alignment horizontal="center" vertical="center"/>
    </xf>
    <xf numFmtId="208" fontId="75" fillId="37" borderId="27" xfId="1344" applyNumberFormat="1" applyFont="1" applyFill="1" applyBorder="1" applyAlignment="1" applyProtection="1">
      <alignment horizontal="left" vertical="center" wrapText="1"/>
      <protection locked="0"/>
    </xf>
    <xf numFmtId="208" fontId="77" fillId="34" borderId="27" xfId="1344" applyNumberFormat="1" applyFont="1" applyFill="1" applyBorder="1" applyAlignment="1" applyProtection="1">
      <alignment horizontal="left" vertical="center"/>
      <protection locked="0"/>
    </xf>
    <xf numFmtId="208" fontId="76" fillId="37" borderId="27" xfId="1344" applyNumberFormat="1" applyFont="1" applyFill="1" applyBorder="1" applyAlignment="1" applyProtection="1">
      <alignment horizontal="left" vertical="center" wrapText="1"/>
      <protection locked="0"/>
    </xf>
    <xf numFmtId="208" fontId="77" fillId="34" borderId="27" xfId="1344" applyNumberFormat="1" applyFont="1" applyFill="1" applyBorder="1" applyAlignment="1" applyProtection="1">
      <alignment horizontal="left" vertical="center" wrapText="1"/>
      <protection locked="0"/>
    </xf>
    <xf numFmtId="208" fontId="77" fillId="34" borderId="27" xfId="1344" applyNumberFormat="1" applyFont="1" applyFill="1" applyBorder="1" applyAlignment="1" applyProtection="1">
      <alignment horizontal="center" vertical="center" wrapText="1"/>
      <protection locked="0"/>
    </xf>
    <xf numFmtId="208" fontId="75" fillId="35" borderId="27" xfId="1344" applyNumberFormat="1" applyFont="1" applyFill="1" applyBorder="1" applyAlignment="1" applyProtection="1">
      <alignment horizontal="left" vertical="center" wrapText="1"/>
      <protection locked="0"/>
    </xf>
    <xf numFmtId="4" fontId="75" fillId="38" borderId="27" xfId="1344" applyNumberFormat="1" applyFont="1" applyFill="1" applyBorder="1" applyAlignment="1" applyProtection="1">
      <alignment horizontal="center" vertical="center"/>
      <protection locked="0"/>
    </xf>
    <xf numFmtId="4" fontId="75" fillId="35" borderId="27" xfId="1344" applyNumberFormat="1" applyFont="1" applyFill="1" applyBorder="1" applyAlignment="1" applyProtection="1">
      <alignment horizontal="center" vertical="center"/>
      <protection locked="0"/>
    </xf>
    <xf numFmtId="208" fontId="75" fillId="38" borderId="27" xfId="1344" applyNumberFormat="1" applyFont="1" applyFill="1" applyBorder="1" applyAlignment="1" applyProtection="1">
      <alignment horizontal="left" vertical="center" wrapText="1"/>
      <protection locked="0"/>
    </xf>
    <xf numFmtId="208" fontId="75" fillId="35" borderId="27" xfId="1344" applyNumberFormat="1" applyFont="1" applyFill="1" applyBorder="1" applyAlignment="1" applyProtection="1">
      <alignment horizontal="left" vertical="center"/>
      <protection locked="0"/>
    </xf>
    <xf numFmtId="208" fontId="77" fillId="35" borderId="27" xfId="1343" applyNumberFormat="1" applyFont="1" applyFill="1" applyBorder="1" applyAlignment="1" applyProtection="1">
      <alignment horizontal="right" vertical="center" wrapText="1"/>
      <protection locked="0"/>
    </xf>
    <xf numFmtId="208" fontId="77" fillId="35" borderId="27" xfId="1343" applyNumberFormat="1" applyFont="1" applyFill="1" applyBorder="1" applyAlignment="1" applyProtection="1">
      <alignment horizontal="center" vertical="center" wrapText="1"/>
      <protection locked="0"/>
    </xf>
    <xf numFmtId="208" fontId="77" fillId="35" borderId="27" xfId="1343" applyNumberFormat="1" applyFont="1" applyFill="1" applyBorder="1" applyAlignment="1" applyProtection="1">
      <alignment horizontal="center" vertical="center"/>
      <protection locked="0"/>
    </xf>
    <xf numFmtId="208" fontId="75" fillId="35" borderId="27" xfId="1343" applyNumberFormat="1" applyFont="1" applyFill="1" applyBorder="1" applyAlignment="1" applyProtection="1">
      <alignment horizontal="center" vertical="center"/>
    </xf>
    <xf numFmtId="208" fontId="77" fillId="34" borderId="27" xfId="1344" applyNumberFormat="1" applyFont="1" applyFill="1" applyBorder="1" applyAlignment="1" applyProtection="1">
      <alignment horizontal="center" vertical="center"/>
      <protection locked="0"/>
    </xf>
    <xf numFmtId="49" fontId="77" fillId="35" borderId="26" xfId="1343" applyNumberFormat="1" applyFont="1" applyFill="1" applyBorder="1" applyAlignment="1" applyProtection="1">
      <alignment horizontal="center" vertical="center"/>
    </xf>
    <xf numFmtId="208" fontId="77" fillId="35" borderId="27" xfId="1343" applyNumberFormat="1" applyFont="1" applyFill="1" applyBorder="1" applyAlignment="1" applyProtection="1">
      <alignment horizontal="left" vertical="center" wrapText="1"/>
      <protection locked="0"/>
    </xf>
    <xf numFmtId="49" fontId="80" fillId="34" borderId="26" xfId="1344" applyNumberFormat="1" applyFont="1" applyFill="1" applyBorder="1" applyAlignment="1" applyProtection="1">
      <alignment horizontal="center" vertical="center"/>
    </xf>
    <xf numFmtId="208" fontId="80" fillId="34" borderId="27" xfId="1344" applyNumberFormat="1" applyFont="1" applyFill="1" applyBorder="1" applyAlignment="1" applyProtection="1">
      <alignment horizontal="left" vertical="center"/>
      <protection locked="0"/>
    </xf>
    <xf numFmtId="4" fontId="80" fillId="34" borderId="27" xfId="1344" applyNumberFormat="1" applyFont="1" applyFill="1" applyBorder="1" applyAlignment="1" applyProtection="1">
      <alignment horizontal="center" vertical="center"/>
      <protection locked="0"/>
    </xf>
    <xf numFmtId="214" fontId="77" fillId="35" borderId="27" xfId="1343" applyNumberFormat="1" applyFont="1" applyFill="1" applyBorder="1" applyAlignment="1" applyProtection="1">
      <alignment horizontal="center" vertical="center"/>
    </xf>
    <xf numFmtId="214" fontId="78" fillId="35" borderId="27" xfId="1343" applyNumberFormat="1" applyFont="1" applyFill="1" applyBorder="1" applyAlignment="1" applyProtection="1">
      <alignment horizontal="center" vertical="center"/>
      <protection locked="0"/>
    </xf>
    <xf numFmtId="214" fontId="77" fillId="35" borderId="28" xfId="1343" applyNumberFormat="1" applyFont="1" applyFill="1" applyBorder="1" applyAlignment="1" applyProtection="1">
      <alignment horizontal="center" vertical="center"/>
    </xf>
    <xf numFmtId="49" fontId="77" fillId="41" borderId="26" xfId="1343" applyNumberFormat="1" applyFont="1" applyFill="1" applyBorder="1" applyAlignment="1" applyProtection="1">
      <alignment horizontal="center" vertical="center"/>
    </xf>
    <xf numFmtId="208" fontId="77" fillId="41" borderId="27" xfId="1343" applyNumberFormat="1" applyFont="1" applyFill="1" applyBorder="1" applyAlignment="1" applyProtection="1">
      <alignment horizontal="left" vertical="center" wrapText="1"/>
      <protection locked="0"/>
    </xf>
    <xf numFmtId="208" fontId="77" fillId="41" borderId="27" xfId="1343" applyNumberFormat="1" applyFont="1" applyFill="1" applyBorder="1" applyAlignment="1" applyProtection="1">
      <alignment horizontal="center" vertical="center" wrapText="1"/>
      <protection locked="0"/>
    </xf>
    <xf numFmtId="208" fontId="77" fillId="41" borderId="27" xfId="1343" applyNumberFormat="1" applyFont="1" applyFill="1" applyBorder="1" applyAlignment="1" applyProtection="1">
      <alignment horizontal="center" vertical="center"/>
      <protection locked="0"/>
    </xf>
    <xf numFmtId="208" fontId="75" fillId="41" borderId="27" xfId="1343" applyNumberFormat="1" applyFont="1" applyFill="1" applyBorder="1" applyAlignment="1" applyProtection="1">
      <alignment horizontal="center" vertical="center"/>
    </xf>
    <xf numFmtId="214" fontId="77" fillId="41" borderId="27" xfId="1343" applyNumberFormat="1" applyFont="1" applyFill="1" applyBorder="1" applyAlignment="1" applyProtection="1">
      <alignment horizontal="center" vertical="center"/>
    </xf>
    <xf numFmtId="214" fontId="78" fillId="41" borderId="27" xfId="1343" applyNumberFormat="1" applyFont="1" applyFill="1" applyBorder="1" applyAlignment="1" applyProtection="1">
      <alignment horizontal="center" vertical="center"/>
      <protection locked="0"/>
    </xf>
    <xf numFmtId="214" fontId="77" fillId="41" borderId="28" xfId="1343" applyNumberFormat="1" applyFont="1" applyFill="1" applyBorder="1" applyAlignment="1" applyProtection="1">
      <alignment horizontal="center" vertical="center"/>
    </xf>
    <xf numFmtId="49" fontId="25" fillId="32" borderId="34" xfId="0" applyNumberFormat="1" applyFont="1" applyFill="1" applyBorder="1" applyAlignment="1" applyProtection="1">
      <alignment horizontal="center" vertical="center"/>
    </xf>
    <xf numFmtId="0" fontId="25" fillId="32" borderId="18" xfId="0" applyFont="1" applyFill="1" applyBorder="1" applyAlignment="1" applyProtection="1">
      <alignment horizontal="left" vertical="center" wrapText="1"/>
    </xf>
    <xf numFmtId="214" fontId="66" fillId="32" borderId="35" xfId="0" applyNumberFormat="1" applyFont="1" applyFill="1" applyBorder="1" applyAlignment="1">
      <alignment horizontal="center" vertical="center"/>
    </xf>
    <xf numFmtId="0" fontId="25" fillId="42" borderId="36" xfId="0" applyFont="1" applyFill="1" applyBorder="1" applyAlignment="1" applyProtection="1">
      <alignment horizontal="left" vertical="center" wrapText="1"/>
    </xf>
    <xf numFmtId="214" fontId="25" fillId="42" borderId="36" xfId="0" applyNumberFormat="1" applyFont="1" applyFill="1" applyBorder="1" applyAlignment="1">
      <alignment horizontal="center" vertical="center" wrapText="1"/>
    </xf>
    <xf numFmtId="214" fontId="25" fillId="42" borderId="37" xfId="0" applyNumberFormat="1" applyFont="1" applyFill="1" applyBorder="1" applyAlignment="1">
      <alignment horizontal="center" vertical="center" wrapText="1"/>
    </xf>
    <xf numFmtId="214" fontId="75" fillId="0" borderId="33" xfId="1344" applyNumberFormat="1" applyFont="1" applyFill="1" applyBorder="1" applyAlignment="1" applyProtection="1">
      <alignment horizontal="center" vertical="center"/>
    </xf>
    <xf numFmtId="49" fontId="77" fillId="34" borderId="32" xfId="1344" applyNumberFormat="1" applyFont="1" applyFill="1" applyBorder="1" applyAlignment="1" applyProtection="1">
      <alignment horizontal="center" vertical="center"/>
    </xf>
    <xf numFmtId="208" fontId="77" fillId="34" borderId="30" xfId="1344" applyNumberFormat="1" applyFont="1" applyFill="1" applyBorder="1" applyAlignment="1" applyProtection="1">
      <alignment horizontal="left" vertical="center"/>
      <protection locked="0"/>
    </xf>
    <xf numFmtId="49" fontId="77" fillId="43" borderId="26" xfId="1343" applyNumberFormat="1" applyFont="1" applyFill="1" applyBorder="1" applyAlignment="1" applyProtection="1">
      <alignment horizontal="center" vertical="center"/>
    </xf>
    <xf numFmtId="208" fontId="77" fillId="43" borderId="27" xfId="1343" applyNumberFormat="1" applyFont="1" applyFill="1" applyBorder="1" applyAlignment="1" applyProtection="1">
      <alignment horizontal="left" vertical="center" wrapText="1"/>
      <protection locked="0"/>
    </xf>
    <xf numFmtId="208" fontId="75" fillId="44" borderId="27" xfId="1344" applyNumberFormat="1" applyFont="1" applyFill="1" applyBorder="1" applyAlignment="1" applyProtection="1">
      <alignment horizontal="center" vertical="center"/>
      <protection locked="0"/>
    </xf>
    <xf numFmtId="208" fontId="77" fillId="43" borderId="27" xfId="1343" applyNumberFormat="1" applyFont="1" applyFill="1" applyBorder="1" applyAlignment="1" applyProtection="1">
      <alignment horizontal="center" vertical="center"/>
      <protection locked="0"/>
    </xf>
    <xf numFmtId="208" fontId="75" fillId="43" borderId="27" xfId="1343" applyNumberFormat="1" applyFont="1" applyFill="1" applyBorder="1" applyAlignment="1" applyProtection="1">
      <alignment horizontal="center" vertical="center"/>
    </xf>
    <xf numFmtId="214" fontId="77" fillId="43" borderId="27" xfId="1343" applyNumberFormat="1" applyFont="1" applyFill="1" applyBorder="1" applyAlignment="1" applyProtection="1">
      <alignment horizontal="center" vertical="center"/>
    </xf>
    <xf numFmtId="214" fontId="77" fillId="43" borderId="27" xfId="1343" applyNumberFormat="1" applyFont="1" applyFill="1" applyBorder="1" applyAlignment="1" applyProtection="1">
      <alignment horizontal="center" vertical="center"/>
      <protection locked="0"/>
    </xf>
    <xf numFmtId="214" fontId="78" fillId="43" borderId="27" xfId="1343" applyNumberFormat="1" applyFont="1" applyFill="1" applyBorder="1" applyAlignment="1" applyProtection="1">
      <alignment horizontal="center" vertical="center"/>
      <protection locked="0"/>
    </xf>
    <xf numFmtId="214" fontId="77" fillId="43" borderId="28" xfId="1343" applyNumberFormat="1" applyFont="1" applyFill="1" applyBorder="1" applyAlignment="1" applyProtection="1">
      <alignment horizontal="center" vertical="center"/>
    </xf>
    <xf numFmtId="49" fontId="77" fillId="34" borderId="26" xfId="1344" quotePrefix="1" applyNumberFormat="1" applyFont="1" applyFill="1" applyBorder="1" applyAlignment="1" applyProtection="1">
      <alignment horizontal="center" vertical="center"/>
    </xf>
    <xf numFmtId="20" fontId="77" fillId="34" borderId="26" xfId="1344" quotePrefix="1" applyNumberFormat="1" applyFont="1" applyFill="1" applyBorder="1" applyAlignment="1" applyProtection="1">
      <alignment horizontal="center" vertical="center"/>
    </xf>
    <xf numFmtId="0" fontId="25" fillId="42" borderId="38" xfId="0" applyFont="1" applyFill="1" applyBorder="1" applyAlignment="1">
      <alignment horizontal="center" vertical="center" wrapText="1"/>
    </xf>
    <xf numFmtId="214" fontId="81" fillId="32" borderId="39" xfId="0" applyNumberFormat="1" applyFont="1" applyFill="1" applyBorder="1" applyAlignment="1">
      <alignment horizontal="center" vertical="center"/>
    </xf>
    <xf numFmtId="214" fontId="75" fillId="0" borderId="29" xfId="1344" applyNumberFormat="1" applyFont="1" applyFill="1" applyBorder="1" applyAlignment="1" applyProtection="1">
      <alignment horizontal="center" vertical="center"/>
    </xf>
    <xf numFmtId="208" fontId="83" fillId="34" borderId="27" xfId="1344" applyNumberFormat="1" applyFont="1" applyFill="1" applyBorder="1" applyAlignment="1" applyProtection="1">
      <alignment horizontal="center" vertical="center"/>
      <protection locked="0"/>
    </xf>
    <xf numFmtId="4" fontId="83" fillId="37" borderId="27" xfId="1344" applyNumberFormat="1" applyFont="1" applyFill="1" applyBorder="1" applyAlignment="1" applyProtection="1">
      <alignment horizontal="center" vertical="center"/>
      <protection locked="0"/>
    </xf>
    <xf numFmtId="0" fontId="0" fillId="0" borderId="18" xfId="0" applyBorder="1" applyAlignment="1">
      <alignment horizontal="center" vertical="center"/>
    </xf>
    <xf numFmtId="0" fontId="38" fillId="42" borderId="40" xfId="0" applyFont="1" applyFill="1" applyBorder="1" applyAlignment="1" applyProtection="1">
      <alignment horizontal="left" vertical="center" wrapText="1"/>
    </xf>
    <xf numFmtId="0" fontId="38" fillId="36" borderId="25" xfId="0" applyFont="1" applyFill="1" applyBorder="1" applyAlignment="1">
      <alignment horizontal="right" vertical="center"/>
    </xf>
    <xf numFmtId="214" fontId="38" fillId="36" borderId="25" xfId="0" applyNumberFormat="1" applyFont="1" applyFill="1" applyBorder="1" applyAlignment="1">
      <alignment horizontal="center" vertical="center"/>
    </xf>
    <xf numFmtId="0" fontId="25" fillId="0" borderId="0" xfId="0" applyFont="1" applyAlignment="1">
      <alignment horizontal="left" vertical="center"/>
    </xf>
    <xf numFmtId="0" fontId="74" fillId="0" borderId="21" xfId="0" applyFont="1" applyBorder="1" applyAlignment="1">
      <alignment horizontal="left" vertical="center"/>
    </xf>
    <xf numFmtId="0" fontId="75" fillId="0" borderId="18" xfId="0" applyFont="1" applyBorder="1" applyAlignment="1">
      <alignment horizontal="center"/>
    </xf>
    <xf numFmtId="214" fontId="77" fillId="45" borderId="40" xfId="1343" applyNumberFormat="1" applyFont="1" applyFill="1" applyBorder="1" applyAlignment="1" applyProtection="1">
      <alignment horizontal="center" vertical="center"/>
    </xf>
    <xf numFmtId="214" fontId="77" fillId="45" borderId="41" xfId="1343" applyNumberFormat="1" applyFont="1" applyFill="1" applyBorder="1" applyAlignment="1" applyProtection="1">
      <alignment horizontal="center" vertical="center"/>
    </xf>
    <xf numFmtId="0" fontId="82" fillId="36" borderId="42" xfId="1033" applyFont="1" applyFill="1" applyBorder="1" applyAlignment="1">
      <alignment horizontal="left" vertical="center"/>
    </xf>
    <xf numFmtId="0" fontId="82" fillId="36" borderId="15" xfId="1033" applyFont="1" applyFill="1" applyBorder="1" applyAlignment="1">
      <alignment horizontal="left" vertical="center"/>
    </xf>
    <xf numFmtId="0" fontId="82" fillId="36" borderId="43" xfId="1033" applyFont="1" applyFill="1" applyBorder="1" applyAlignment="1">
      <alignment horizontal="left" vertical="center"/>
    </xf>
    <xf numFmtId="208" fontId="77" fillId="45" borderId="40" xfId="1343" applyNumberFormat="1" applyFont="1" applyFill="1" applyBorder="1" applyAlignment="1" applyProtection="1">
      <alignment horizontal="right" vertical="center" wrapText="1"/>
      <protection locked="0"/>
    </xf>
    <xf numFmtId="208" fontId="77" fillId="45" borderId="41" xfId="1343" applyNumberFormat="1" applyFont="1" applyFill="1" applyBorder="1" applyAlignment="1" applyProtection="1">
      <alignment horizontal="right" vertical="center" wrapText="1"/>
      <protection locked="0"/>
    </xf>
    <xf numFmtId="214" fontId="78" fillId="45" borderId="40" xfId="1343" applyNumberFormat="1" applyFont="1" applyFill="1" applyBorder="1" applyAlignment="1" applyProtection="1">
      <alignment horizontal="center" vertical="center"/>
      <protection locked="0"/>
    </xf>
    <xf numFmtId="214" fontId="78" fillId="45" borderId="41" xfId="1343" applyNumberFormat="1" applyFont="1" applyFill="1" applyBorder="1" applyAlignment="1" applyProtection="1">
      <alignment horizontal="center" vertical="center"/>
      <protection locked="0"/>
    </xf>
    <xf numFmtId="49" fontId="77" fillId="45" borderId="40" xfId="1343" applyNumberFormat="1" applyFont="1" applyFill="1" applyBorder="1" applyAlignment="1" applyProtection="1">
      <alignment horizontal="center" vertical="center"/>
    </xf>
    <xf numFmtId="49" fontId="77" fillId="45" borderId="41" xfId="1343" applyNumberFormat="1" applyFont="1" applyFill="1" applyBorder="1" applyAlignment="1" applyProtection="1">
      <alignment horizontal="center" vertical="center"/>
    </xf>
  </cellXfs>
  <cellStyles count="1686">
    <cellStyle name=" 1" xfId="1" xr:uid="{3C2AE7DD-2ED0-4BDC-AA40-F13818829E5B}"/>
    <cellStyle name="%20 - Vurgu1 10" xfId="2" xr:uid="{E6EA3819-691C-4282-817A-1CFDDA9FB0E7}"/>
    <cellStyle name="%20 - Vurgu1 11" xfId="3" xr:uid="{E8F119B6-1C05-458D-BE1C-CEA9A197D076}"/>
    <cellStyle name="%20 - Vurgu1 12" xfId="4" xr:uid="{A726BD5D-737A-419B-89FA-967D535AF4E6}"/>
    <cellStyle name="%20 - Vurgu1 13" xfId="5" xr:uid="{E5B45512-4CF8-4E64-B777-241B015905D5}"/>
    <cellStyle name="%20 - Vurgu1 14" xfId="6" xr:uid="{52D2A05A-8E4C-4F8F-BFBA-9D065AA7C122}"/>
    <cellStyle name="%20 - Vurgu1 15" xfId="7" xr:uid="{C3FD7A28-21BF-493B-B031-5FA979823298}"/>
    <cellStyle name="%20 - Vurgu1 16" xfId="8" xr:uid="{59C70869-9067-4A51-AB4D-40FDA2ECF57A}"/>
    <cellStyle name="%20 - Vurgu1 17" xfId="9" xr:uid="{456C772D-575D-4DDE-9B1A-DC33577F7073}"/>
    <cellStyle name="%20 - Vurgu1 18" xfId="10" xr:uid="{12B1573E-F445-4DA8-91D5-64FF2D11F039}"/>
    <cellStyle name="%20 - Vurgu1 19" xfId="11" xr:uid="{70A41862-F98F-42BB-9E3F-98C0DD8A86E6}"/>
    <cellStyle name="%20 - Vurgu1 2" xfId="12" xr:uid="{9AC5D432-2021-4454-9C97-C357E7A467EC}"/>
    <cellStyle name="%20 - Vurgu1 20" xfId="13" xr:uid="{43E83889-D7F3-4F71-AAD3-9FD7682E9B99}"/>
    <cellStyle name="%20 - Vurgu1 21" xfId="14" xr:uid="{5565F7EF-CD00-4CAD-8C4D-38E8C6B2F624}"/>
    <cellStyle name="%20 - Vurgu1 22" xfId="15" xr:uid="{88D3C0A4-B04D-4FDE-B961-98D53FECB200}"/>
    <cellStyle name="%20 - Vurgu1 23" xfId="16" xr:uid="{5780EE03-2A9B-4B3F-8BE0-37532EBDDC8B}"/>
    <cellStyle name="%20 - Vurgu1 24" xfId="17" xr:uid="{E79DCBDC-F69C-48D1-B4BD-913FDFEC72A8}"/>
    <cellStyle name="%20 - Vurgu1 25" xfId="18" xr:uid="{F71BFE95-1F0A-49F8-8D8B-E2F518795EF5}"/>
    <cellStyle name="%20 - Vurgu1 3" xfId="19" xr:uid="{ACC66227-D5F9-4FE8-B3C1-C12995C650CE}"/>
    <cellStyle name="%20 - Vurgu1 4" xfId="20" xr:uid="{AFC467B2-4120-4412-8FEB-0415FA23AEF6}"/>
    <cellStyle name="%20 - Vurgu1 5" xfId="21" xr:uid="{29D30495-4B51-49B5-A8F0-6E830BABE5FD}"/>
    <cellStyle name="%20 - Vurgu1 6" xfId="22" xr:uid="{DC24658F-7453-485B-8685-6B52D3CE825F}"/>
    <cellStyle name="%20 - Vurgu1 7" xfId="23" xr:uid="{816853B5-84AB-4BF6-8463-1F8B6C90804D}"/>
    <cellStyle name="%20 - Vurgu1 8" xfId="24" xr:uid="{35CBC6FD-7EB7-498E-8C21-D7B0FFB027C4}"/>
    <cellStyle name="%20 - Vurgu1 9" xfId="25" xr:uid="{F6D28EC5-34C9-4792-B447-5AF33F72FEA2}"/>
    <cellStyle name="%20 - Vurgu2 10" xfId="26" xr:uid="{D3EEEF64-C894-49BC-BC52-90898949EB4D}"/>
    <cellStyle name="%20 - Vurgu2 11" xfId="27" xr:uid="{D98EEF3F-617B-4A76-B4DB-5624B56B1032}"/>
    <cellStyle name="%20 - Vurgu2 12" xfId="28" xr:uid="{E70E9829-D174-4042-A299-D7C1E32A7460}"/>
    <cellStyle name="%20 - Vurgu2 13" xfId="29" xr:uid="{FB0F5658-5FE0-4104-89DE-8C8829165F79}"/>
    <cellStyle name="%20 - Vurgu2 14" xfId="30" xr:uid="{A7185A04-BE81-46BD-9927-9B459E6D8B70}"/>
    <cellStyle name="%20 - Vurgu2 15" xfId="31" xr:uid="{58A25551-E971-4551-A4B4-0CC40A9DE304}"/>
    <cellStyle name="%20 - Vurgu2 16" xfId="32" xr:uid="{74FA6830-C7AD-4033-8A47-A4F328CDD0BF}"/>
    <cellStyle name="%20 - Vurgu2 17" xfId="33" xr:uid="{C35BE396-8238-48E2-BA33-1F237291C5FE}"/>
    <cellStyle name="%20 - Vurgu2 18" xfId="34" xr:uid="{90D6735A-839F-4F0F-9FBA-23D75228710D}"/>
    <cellStyle name="%20 - Vurgu2 19" xfId="35" xr:uid="{43DF11DD-8160-4BD8-BE24-720CB05A102B}"/>
    <cellStyle name="%20 - Vurgu2 2" xfId="36" xr:uid="{F5911ED4-0C30-4359-A5AB-DEDBD2DD14FC}"/>
    <cellStyle name="%20 - Vurgu2 20" xfId="37" xr:uid="{DF9191CC-DC64-4620-9586-5585C3EDC8B9}"/>
    <cellStyle name="%20 - Vurgu2 21" xfId="38" xr:uid="{4DE4BA16-CCFB-4D42-B139-8C891574507A}"/>
    <cellStyle name="%20 - Vurgu2 22" xfId="39" xr:uid="{B4A1AC95-F466-48BE-9CEA-84815DC718BA}"/>
    <cellStyle name="%20 - Vurgu2 23" xfId="40" xr:uid="{35AD83C4-F402-4489-A827-A52235C54D8B}"/>
    <cellStyle name="%20 - Vurgu2 24" xfId="41" xr:uid="{C8E4B51F-178C-46CE-8B97-8CF0E9103C09}"/>
    <cellStyle name="%20 - Vurgu2 25" xfId="42" xr:uid="{7A4B2DCF-8DB1-4383-A830-68107238C114}"/>
    <cellStyle name="%20 - Vurgu2 3" xfId="43" xr:uid="{46B1C9C5-442E-46DD-B29E-28D2AAC62763}"/>
    <cellStyle name="%20 - Vurgu2 4" xfId="44" xr:uid="{157B4736-50F4-4C5E-B920-993AD1406A9D}"/>
    <cellStyle name="%20 - Vurgu2 5" xfId="45" xr:uid="{885ED6BD-8F2C-44FA-9915-22656BA2E758}"/>
    <cellStyle name="%20 - Vurgu2 6" xfId="46" xr:uid="{25D475AE-416A-41A6-968F-8F391DFD964D}"/>
    <cellStyle name="%20 - Vurgu2 7" xfId="47" xr:uid="{1786D836-ED40-42E3-8D11-C5E8D6FC73BD}"/>
    <cellStyle name="%20 - Vurgu2 8" xfId="48" xr:uid="{7FC993ED-DB09-42A9-B3F9-2731DAA350B7}"/>
    <cellStyle name="%20 - Vurgu2 9" xfId="49" xr:uid="{5E13FD6B-BC0E-4D1D-B467-8620B7129038}"/>
    <cellStyle name="%20 - Vurgu3 10" xfId="50" xr:uid="{2931D78C-19DA-4457-9354-EA469C0F1CDA}"/>
    <cellStyle name="%20 - Vurgu3 11" xfId="51" xr:uid="{18B049A6-5AF9-45A2-B0A8-B507D72A6823}"/>
    <cellStyle name="%20 - Vurgu3 12" xfId="52" xr:uid="{BB6DB778-A9F9-48CF-B14F-FE5EF926516A}"/>
    <cellStyle name="%20 - Vurgu3 13" xfId="53" xr:uid="{BD38BC99-EDE5-436D-BBEA-D361007BDCBB}"/>
    <cellStyle name="%20 - Vurgu3 14" xfId="54" xr:uid="{66DD5E83-C8B6-42D1-8CD4-8F2B977A81BF}"/>
    <cellStyle name="%20 - Vurgu3 15" xfId="55" xr:uid="{41D7AE7A-FD39-499B-BFBE-89E669BB9450}"/>
    <cellStyle name="%20 - Vurgu3 16" xfId="56" xr:uid="{6E3F357C-3DC7-4A12-9F0C-02D31DD15B05}"/>
    <cellStyle name="%20 - Vurgu3 17" xfId="57" xr:uid="{72FDB993-F910-4A36-9259-1B4679494C63}"/>
    <cellStyle name="%20 - Vurgu3 18" xfId="58" xr:uid="{48A9611A-E014-43CA-8B1C-772E4D4A6021}"/>
    <cellStyle name="%20 - Vurgu3 19" xfId="59" xr:uid="{CD23EE92-2F3D-41E3-804C-D9EDCF710B77}"/>
    <cellStyle name="%20 - Vurgu3 2" xfId="60" xr:uid="{3D162A95-785E-49A4-BC24-097A8E16EBF0}"/>
    <cellStyle name="%20 - Vurgu3 20" xfId="61" xr:uid="{719B94B4-68A4-4869-A857-7618595C2D82}"/>
    <cellStyle name="%20 - Vurgu3 21" xfId="62" xr:uid="{ED9BBB41-D99F-4BD1-9ECB-EE6A87E87723}"/>
    <cellStyle name="%20 - Vurgu3 22" xfId="63" xr:uid="{93C18100-E442-4A15-9DD9-2EF77A9DD029}"/>
    <cellStyle name="%20 - Vurgu3 23" xfId="64" xr:uid="{2B831EFF-28B1-4D76-B5B4-C7A567E03902}"/>
    <cellStyle name="%20 - Vurgu3 24" xfId="65" xr:uid="{D32BAC64-FC85-498F-A168-42C401EF4E2B}"/>
    <cellStyle name="%20 - Vurgu3 25" xfId="66" xr:uid="{662DB613-F0DB-4D6B-85B9-554480EE2200}"/>
    <cellStyle name="%20 - Vurgu3 3" xfId="67" xr:uid="{2AD52E03-A8FC-4741-BE16-27A76FB50426}"/>
    <cellStyle name="%20 - Vurgu3 4" xfId="68" xr:uid="{F9606C3A-2110-470E-B868-4E3AEB396BAD}"/>
    <cellStyle name="%20 - Vurgu3 5" xfId="69" xr:uid="{CB33AEE1-CEA6-4E47-A9B7-34DF5717E37D}"/>
    <cellStyle name="%20 - Vurgu3 6" xfId="70" xr:uid="{68D03CAF-2713-4726-A350-BE1A9946B7B5}"/>
    <cellStyle name="%20 - Vurgu3 7" xfId="71" xr:uid="{A1385042-00C9-40B9-9A97-508ADC41B518}"/>
    <cellStyle name="%20 - Vurgu3 8" xfId="72" xr:uid="{9619299A-E038-4E64-A9EB-BD7DDB7F92ED}"/>
    <cellStyle name="%20 - Vurgu3 9" xfId="73" xr:uid="{A33F80E4-8AAA-4C77-ACF9-0087971154D6}"/>
    <cellStyle name="%20 - Vurgu4 10" xfId="74" xr:uid="{42080773-743B-47E9-9635-2601AAFE52A1}"/>
    <cellStyle name="%20 - Vurgu4 11" xfId="75" xr:uid="{E3F28DC2-C219-4191-A0F0-B296C882D4C6}"/>
    <cellStyle name="%20 - Vurgu4 12" xfId="76" xr:uid="{ECCB82CE-C23E-4566-A8EE-94A8F78352C9}"/>
    <cellStyle name="%20 - Vurgu4 13" xfId="77" xr:uid="{BA84CE6C-0E42-4B31-B538-CA35E7A79E5E}"/>
    <cellStyle name="%20 - Vurgu4 14" xfId="78" xr:uid="{C7067BF0-5A2F-4184-8B04-8DD8A6879820}"/>
    <cellStyle name="%20 - Vurgu4 15" xfId="79" xr:uid="{4FE82F80-FCA6-4126-A095-8B7ABB7C7B61}"/>
    <cellStyle name="%20 - Vurgu4 16" xfId="80" xr:uid="{FF1F01AA-2FF3-40CD-9627-FF173AFA8F22}"/>
    <cellStyle name="%20 - Vurgu4 17" xfId="81" xr:uid="{70DCDC5F-2747-4703-A0D8-F34243589E86}"/>
    <cellStyle name="%20 - Vurgu4 18" xfId="82" xr:uid="{DF8C9562-E0C2-4F16-8F5C-DDC41EF7D926}"/>
    <cellStyle name="%20 - Vurgu4 19" xfId="83" xr:uid="{B83CB908-F653-4212-B943-0CA472E09723}"/>
    <cellStyle name="%20 - Vurgu4 2" xfId="84" xr:uid="{A2633B21-40EF-4C0A-B807-50DBFB9CFF72}"/>
    <cellStyle name="%20 - Vurgu4 20" xfId="85" xr:uid="{48F38AAB-8D3E-446C-9FDC-6564BEC3FE86}"/>
    <cellStyle name="%20 - Vurgu4 21" xfId="86" xr:uid="{0415FDE9-8FE8-48BA-AC82-AE9C2F0EE147}"/>
    <cellStyle name="%20 - Vurgu4 22" xfId="87" xr:uid="{14F04508-E63E-41E6-9EDB-D0E96BF9B691}"/>
    <cellStyle name="%20 - Vurgu4 23" xfId="88" xr:uid="{71392493-9660-46DC-BC03-6AD32551FFD9}"/>
    <cellStyle name="%20 - Vurgu4 24" xfId="89" xr:uid="{D8A2907C-E8B1-424E-BA0B-520205D42F5E}"/>
    <cellStyle name="%20 - Vurgu4 25" xfId="90" xr:uid="{1C472027-27C7-483D-92B8-E0B5F7114B19}"/>
    <cellStyle name="%20 - Vurgu4 3" xfId="91" xr:uid="{BE59C62C-AACD-4118-A4C0-2FBD0E2A093B}"/>
    <cellStyle name="%20 - Vurgu4 4" xfId="92" xr:uid="{E2E18325-8E5D-4DED-B511-CF681F31B24B}"/>
    <cellStyle name="%20 - Vurgu4 5" xfId="93" xr:uid="{316DC76B-AFC1-4E54-B92A-108B3D7858D5}"/>
    <cellStyle name="%20 - Vurgu4 6" xfId="94" xr:uid="{C3B853E3-5AF0-4086-BF88-4160F7472C01}"/>
    <cellStyle name="%20 - Vurgu4 7" xfId="95" xr:uid="{0F15BC5E-C5B6-43F5-AA07-0F86A38D120C}"/>
    <cellStyle name="%20 - Vurgu4 8" xfId="96" xr:uid="{13C1AB15-0384-4D01-9BD0-5924EFB25884}"/>
    <cellStyle name="%20 - Vurgu4 9" xfId="97" xr:uid="{E8F09E47-E9FB-4628-B5AC-76C2EF34F808}"/>
    <cellStyle name="%20 - Vurgu5 10" xfId="98" xr:uid="{6966AAB8-4F76-4032-AEE6-D0D5DA1AC5EF}"/>
    <cellStyle name="%20 - Vurgu5 11" xfId="99" xr:uid="{2A327425-96B9-4A86-9D4C-FE84072FBEBC}"/>
    <cellStyle name="%20 - Vurgu5 12" xfId="100" xr:uid="{971B5467-DCE4-40FA-A9CE-97645F47009D}"/>
    <cellStyle name="%20 - Vurgu5 13" xfId="101" xr:uid="{CA5BD54A-794F-4F50-8555-BD38D630B12D}"/>
    <cellStyle name="%20 - Vurgu5 14" xfId="102" xr:uid="{DAC73AF9-551C-49C1-9CEA-C8751CD214F6}"/>
    <cellStyle name="%20 - Vurgu5 15" xfId="103" xr:uid="{BE4B652A-5122-4101-89FE-E2DE96E0F76F}"/>
    <cellStyle name="%20 - Vurgu5 16" xfId="104" xr:uid="{A692EF3F-6905-4650-80E4-B00878027994}"/>
    <cellStyle name="%20 - Vurgu5 17" xfId="105" xr:uid="{7121C24C-ECC4-4A32-B85B-6CF2D6E12ADC}"/>
    <cellStyle name="%20 - Vurgu5 18" xfId="106" xr:uid="{8E70D49F-2BA7-4317-ACC6-89B2588E5627}"/>
    <cellStyle name="%20 - Vurgu5 19" xfId="107" xr:uid="{B10C0D85-07EC-410E-904F-22FCB270A898}"/>
    <cellStyle name="%20 - Vurgu5 2" xfId="108" xr:uid="{5C2608FD-625F-4F9E-A4DC-88F75C71134E}"/>
    <cellStyle name="%20 - Vurgu5 20" xfId="109" xr:uid="{94124B95-CB32-45CA-92C0-8C96AD64827E}"/>
    <cellStyle name="%20 - Vurgu5 21" xfId="110" xr:uid="{6AF84B65-F9DD-4268-B923-3314E8893500}"/>
    <cellStyle name="%20 - Vurgu5 22" xfId="111" xr:uid="{D5C6E4CD-EEB5-4024-9437-4280F26C9AB7}"/>
    <cellStyle name="%20 - Vurgu5 23" xfId="112" xr:uid="{67AD9E70-C3A6-4ACB-B7D8-3334EE09CBBF}"/>
    <cellStyle name="%20 - Vurgu5 24" xfId="113" xr:uid="{BCC2C6CC-585C-48AF-B129-DF7DB3B934D7}"/>
    <cellStyle name="%20 - Vurgu5 25" xfId="114" xr:uid="{CBEF4D73-BE1A-4518-A75E-EC2024328CB9}"/>
    <cellStyle name="%20 - Vurgu5 3" xfId="115" xr:uid="{66F44794-1F54-4939-82CD-DBA510495A95}"/>
    <cellStyle name="%20 - Vurgu5 4" xfId="116" xr:uid="{B9F97673-BF1F-454E-A515-9C8A661570BF}"/>
    <cellStyle name="%20 - Vurgu5 5" xfId="117" xr:uid="{15F6EE08-598D-408B-8153-8A94674905F7}"/>
    <cellStyle name="%20 - Vurgu5 6" xfId="118" xr:uid="{E646D106-A40F-401F-8624-4687FC3AD7A0}"/>
    <cellStyle name="%20 - Vurgu5 7" xfId="119" xr:uid="{4629D661-DBB9-4C26-B268-67BDEE4F7D8C}"/>
    <cellStyle name="%20 - Vurgu5 8" xfId="120" xr:uid="{636C8766-85C5-43D3-A9B2-564FEAD68BB2}"/>
    <cellStyle name="%20 - Vurgu5 9" xfId="121" xr:uid="{D6E53E15-DE97-4571-B291-95A20F6F6C69}"/>
    <cellStyle name="%20 - Vurgu6 10" xfId="122" xr:uid="{7F4E6BDA-6A15-4F89-B973-545CC7EDA71F}"/>
    <cellStyle name="%20 - Vurgu6 11" xfId="123" xr:uid="{D9E27A32-512A-4259-9449-02C6B4E08420}"/>
    <cellStyle name="%20 - Vurgu6 12" xfId="124" xr:uid="{4969E474-C4F3-46F9-B929-8A63ED54FCC8}"/>
    <cellStyle name="%20 - Vurgu6 13" xfId="125" xr:uid="{014C54F4-A81B-459E-8666-201354C432EB}"/>
    <cellStyle name="%20 - Vurgu6 14" xfId="126" xr:uid="{7061D513-E06A-4B47-A4C7-8F85C83B8D42}"/>
    <cellStyle name="%20 - Vurgu6 15" xfId="127" xr:uid="{3F94E9D0-A547-4339-9B75-7D975C0A9A8D}"/>
    <cellStyle name="%20 - Vurgu6 16" xfId="128" xr:uid="{5BDC3A3A-CFBE-4D0E-80A3-E695DF699BBA}"/>
    <cellStyle name="%20 - Vurgu6 17" xfId="129" xr:uid="{25C09DE3-D596-45AF-80AE-B5C9CD12F6F2}"/>
    <cellStyle name="%20 - Vurgu6 18" xfId="130" xr:uid="{6D620785-192C-4A05-96F5-C27C5E5F3D25}"/>
    <cellStyle name="%20 - Vurgu6 19" xfId="131" xr:uid="{A4CDC0E1-252A-4C1A-AFDB-DE70A2DE4AA0}"/>
    <cellStyle name="%20 - Vurgu6 2" xfId="132" xr:uid="{D0ADF314-3B58-48E4-9E7C-89264BE184DE}"/>
    <cellStyle name="%20 - Vurgu6 20" xfId="133" xr:uid="{2808465F-481A-4193-A065-C45822FAD8EE}"/>
    <cellStyle name="%20 - Vurgu6 21" xfId="134" xr:uid="{056F1DCC-CDC1-4C1D-9E1C-8D427DACB6B3}"/>
    <cellStyle name="%20 - Vurgu6 22" xfId="135" xr:uid="{C37FB0F2-4924-46E7-A977-9D178AB615EF}"/>
    <cellStyle name="%20 - Vurgu6 23" xfId="136" xr:uid="{03AABC50-2115-4805-8C51-391390FAC184}"/>
    <cellStyle name="%20 - Vurgu6 24" xfId="137" xr:uid="{78842999-27BD-43DD-B600-60A7D4BA3211}"/>
    <cellStyle name="%20 - Vurgu6 25" xfId="138" xr:uid="{329E5449-99C4-49C7-8D5D-968BABC3C7BB}"/>
    <cellStyle name="%20 - Vurgu6 3" xfId="139" xr:uid="{90CB6A6B-455E-4807-B112-322A64F02921}"/>
    <cellStyle name="%20 - Vurgu6 4" xfId="140" xr:uid="{93E4A1A4-3C76-4999-B25F-89D30C0C357C}"/>
    <cellStyle name="%20 - Vurgu6 5" xfId="141" xr:uid="{C5AE9E2E-0263-4061-BCD8-63312F953F0F}"/>
    <cellStyle name="%20 - Vurgu6 6" xfId="142" xr:uid="{D45AB255-1197-404E-83A3-A2E2BB00B60A}"/>
    <cellStyle name="%20 - Vurgu6 7" xfId="143" xr:uid="{3D86124D-5255-4D09-A31C-2BFFA5F59FB6}"/>
    <cellStyle name="%20 - Vurgu6 8" xfId="144" xr:uid="{14B25DC3-0A2B-4FF9-8749-867CD814A48E}"/>
    <cellStyle name="%20 - Vurgu6 9" xfId="145" xr:uid="{C53536E1-81EF-40F4-8C12-28A14D30A8E3}"/>
    <cellStyle name="%40 - Vurgu1 10" xfId="146" xr:uid="{07E656FC-76C1-4AAF-BE0C-C759B7F59618}"/>
    <cellStyle name="%40 - Vurgu1 11" xfId="147" xr:uid="{1653E631-D3CD-4175-9CE8-C8278E75F16C}"/>
    <cellStyle name="%40 - Vurgu1 12" xfId="148" xr:uid="{48504060-861F-4FDE-949E-7C3B660CA343}"/>
    <cellStyle name="%40 - Vurgu1 13" xfId="149" xr:uid="{5B5C6330-E070-4D4A-822C-DD0355D042C4}"/>
    <cellStyle name="%40 - Vurgu1 14" xfId="150" xr:uid="{6A17834E-D0CC-4B42-96A4-B2DFA653C25C}"/>
    <cellStyle name="%40 - Vurgu1 15" xfId="151" xr:uid="{94D7B7A6-F961-4F8C-93FF-C4403809378D}"/>
    <cellStyle name="%40 - Vurgu1 16" xfId="152" xr:uid="{4327912F-8C03-4A6F-B050-FEDC5FE5DEB9}"/>
    <cellStyle name="%40 - Vurgu1 17" xfId="153" xr:uid="{D0CB0D91-7912-45C9-AFA2-4C8AF9826EB6}"/>
    <cellStyle name="%40 - Vurgu1 18" xfId="154" xr:uid="{E11122E8-CBA2-430F-BD9E-7BDF5C303F82}"/>
    <cellStyle name="%40 - Vurgu1 19" xfId="155" xr:uid="{63C13B31-23BD-48BB-94CF-3816C64633C5}"/>
    <cellStyle name="%40 - Vurgu1 2" xfId="156" xr:uid="{DDF94F81-1FF2-4E39-B213-DB21C2C06876}"/>
    <cellStyle name="%40 - Vurgu1 20" xfId="157" xr:uid="{DFA131CB-6201-45DA-A16C-9ED2392CAF97}"/>
    <cellStyle name="%40 - Vurgu1 21" xfId="158" xr:uid="{5F4B5601-FA63-434A-940D-5EB0408FE75A}"/>
    <cellStyle name="%40 - Vurgu1 22" xfId="159" xr:uid="{F5B8EB24-2960-412B-8ACC-ACB50349062B}"/>
    <cellStyle name="%40 - Vurgu1 23" xfId="160" xr:uid="{E0871155-13D7-463B-9C6B-3C7DAFB4594D}"/>
    <cellStyle name="%40 - Vurgu1 24" xfId="161" xr:uid="{CF407B38-0A41-4825-BA46-E04CF91A75CC}"/>
    <cellStyle name="%40 - Vurgu1 25" xfId="162" xr:uid="{A9F6F477-2ABA-4331-BDBD-B5CAD82B11CD}"/>
    <cellStyle name="%40 - Vurgu1 3" xfId="163" xr:uid="{C542C4E2-AD0F-445B-8E38-D66022E6C1E1}"/>
    <cellStyle name="%40 - Vurgu1 4" xfId="164" xr:uid="{6E7E5C7E-4BDF-4AA0-8EF4-E85846672D14}"/>
    <cellStyle name="%40 - Vurgu1 5" xfId="165" xr:uid="{E306D694-DF14-41B8-86D6-CBB107405E10}"/>
    <cellStyle name="%40 - Vurgu1 6" xfId="166" xr:uid="{3035DC25-DD76-4289-82A9-BF9C8C3C29ED}"/>
    <cellStyle name="%40 - Vurgu1 7" xfId="167" xr:uid="{A0EC5340-2F20-47E3-A1D2-90B5EDD748D1}"/>
    <cellStyle name="%40 - Vurgu1 8" xfId="168" xr:uid="{7AFC58D8-21B4-4128-8E68-CE1AF4FF618C}"/>
    <cellStyle name="%40 - Vurgu1 9" xfId="169" xr:uid="{B4375939-3BDF-43DB-B79F-918167603877}"/>
    <cellStyle name="%40 - Vurgu2 10" xfId="170" xr:uid="{9E828C2F-914C-4828-851E-4C4C35172E43}"/>
    <cellStyle name="%40 - Vurgu2 11" xfId="171" xr:uid="{71A759E0-B7A1-4EE5-8BD2-CD0C80567F34}"/>
    <cellStyle name="%40 - Vurgu2 12" xfId="172" xr:uid="{05D5F0F9-C8DB-4DCB-8A1F-272259BA1599}"/>
    <cellStyle name="%40 - Vurgu2 13" xfId="173" xr:uid="{56A96F97-69DC-4889-AABF-47136673DD87}"/>
    <cellStyle name="%40 - Vurgu2 14" xfId="174" xr:uid="{214B7110-E7E2-4720-9212-D03AAF05E132}"/>
    <cellStyle name="%40 - Vurgu2 15" xfId="175" xr:uid="{676B006E-EA5F-4192-B5BB-F019704D421F}"/>
    <cellStyle name="%40 - Vurgu2 16" xfId="176" xr:uid="{C002C12C-DDE8-48B7-84A1-CCCA7CAE27F9}"/>
    <cellStyle name="%40 - Vurgu2 17" xfId="177" xr:uid="{BA779F0E-59E7-43FA-8BE1-3D336F896679}"/>
    <cellStyle name="%40 - Vurgu2 18" xfId="178" xr:uid="{6182B944-7306-42F4-9CE0-43A1500A32B3}"/>
    <cellStyle name="%40 - Vurgu2 19" xfId="179" xr:uid="{6669663D-EB36-4A26-839F-3624EE081F34}"/>
    <cellStyle name="%40 - Vurgu2 2" xfId="180" xr:uid="{B9470B85-4CCE-412B-AC4F-1A967DA3D422}"/>
    <cellStyle name="%40 - Vurgu2 20" xfId="181" xr:uid="{3F6966AC-A7D9-4D60-BF9C-4577F6C1983F}"/>
    <cellStyle name="%40 - Vurgu2 21" xfId="182" xr:uid="{EFA5D103-8F3B-41B9-8D88-78F5A3AB66E6}"/>
    <cellStyle name="%40 - Vurgu2 22" xfId="183" xr:uid="{FEF16943-5499-4BEE-BBB8-AF0E5AC750D6}"/>
    <cellStyle name="%40 - Vurgu2 23" xfId="184" xr:uid="{FBEC112D-F302-4321-8C9B-741481136FF9}"/>
    <cellStyle name="%40 - Vurgu2 24" xfId="185" xr:uid="{52AB9EFD-FB4E-497D-A3E6-CA1439D7688A}"/>
    <cellStyle name="%40 - Vurgu2 25" xfId="186" xr:uid="{D49F6B4F-767F-49AC-AC18-F258F0C68ED0}"/>
    <cellStyle name="%40 - Vurgu2 3" xfId="187" xr:uid="{3E720DE0-6CC0-4274-BFB3-A97DF6267140}"/>
    <cellStyle name="%40 - Vurgu2 4" xfId="188" xr:uid="{E064C442-3DD9-426E-99E6-564748457F5A}"/>
    <cellStyle name="%40 - Vurgu2 5" xfId="189" xr:uid="{6E59DB3C-966A-44A9-AE98-B713AE2A87FF}"/>
    <cellStyle name="%40 - Vurgu2 6" xfId="190" xr:uid="{E6C4AE2D-89C4-4784-8370-CB6B2D3EC1F2}"/>
    <cellStyle name="%40 - Vurgu2 7" xfId="191" xr:uid="{0CC9F23B-04A9-487E-AC23-941E1B4F7F99}"/>
    <cellStyle name="%40 - Vurgu2 8" xfId="192" xr:uid="{AA1AB2F5-BB9C-406C-86E1-A3F0E765CFD9}"/>
    <cellStyle name="%40 - Vurgu2 9" xfId="193" xr:uid="{CC0FD604-6F78-4FAF-920A-FDF832681DA2}"/>
    <cellStyle name="%40 - Vurgu3 10" xfId="194" xr:uid="{78CF26F1-6F9E-4666-8AD5-D9A1CF8AB578}"/>
    <cellStyle name="%40 - Vurgu3 11" xfId="195" xr:uid="{4E56BC19-EEDC-45AD-AEF1-D8EF251120FB}"/>
    <cellStyle name="%40 - Vurgu3 12" xfId="196" xr:uid="{B0E11747-63F2-491E-A9D0-9378221BB09E}"/>
    <cellStyle name="%40 - Vurgu3 13" xfId="197" xr:uid="{8C726EE9-5838-4618-A53B-6087646F8307}"/>
    <cellStyle name="%40 - Vurgu3 14" xfId="198" xr:uid="{7A71155D-C580-4B5E-9EF9-74CDF160A27A}"/>
    <cellStyle name="%40 - Vurgu3 15" xfId="199" xr:uid="{AD2F8AC9-9F39-4BC9-9EEF-A691814E9226}"/>
    <cellStyle name="%40 - Vurgu3 16" xfId="200" xr:uid="{3FFC80F5-BFA2-4A49-B4F7-38FC96F7D8D3}"/>
    <cellStyle name="%40 - Vurgu3 17" xfId="201" xr:uid="{FD175F66-C106-4A59-BDC7-26F80CE7465D}"/>
    <cellStyle name="%40 - Vurgu3 18" xfId="202" xr:uid="{EB086F33-4E9E-476F-860F-72B7FE5A7DE5}"/>
    <cellStyle name="%40 - Vurgu3 19" xfId="203" xr:uid="{6C90B76E-2DC1-4D42-96B1-5A280685E538}"/>
    <cellStyle name="%40 - Vurgu3 2" xfId="204" xr:uid="{36FCF74E-DD00-40AE-B273-F1ECA59FA666}"/>
    <cellStyle name="%40 - Vurgu3 20" xfId="205" xr:uid="{27656D16-9A21-4977-B7C9-303BED439036}"/>
    <cellStyle name="%40 - Vurgu3 21" xfId="206" xr:uid="{985F71BE-C3EB-42C4-9DEE-D0E39F69CBD8}"/>
    <cellStyle name="%40 - Vurgu3 22" xfId="207" xr:uid="{7DAB317D-2632-44AE-B34C-EAF8C319B792}"/>
    <cellStyle name="%40 - Vurgu3 23" xfId="208" xr:uid="{4602F2F5-274F-473B-B980-74D25AAF1D24}"/>
    <cellStyle name="%40 - Vurgu3 24" xfId="209" xr:uid="{F86660D9-99CE-4517-BCC3-BE9727F9E2CA}"/>
    <cellStyle name="%40 - Vurgu3 25" xfId="210" xr:uid="{EA773BEC-5687-4BFA-B89C-6A8BE32CC543}"/>
    <cellStyle name="%40 - Vurgu3 3" xfId="211" xr:uid="{D4AF0C9A-F25D-4E0B-A9E7-789E480A1A20}"/>
    <cellStyle name="%40 - Vurgu3 4" xfId="212" xr:uid="{A7B0136F-371B-41E6-829E-08AB55B7700A}"/>
    <cellStyle name="%40 - Vurgu3 5" xfId="213" xr:uid="{12A13F32-D48E-4400-9374-C1EE43CA4359}"/>
    <cellStyle name="%40 - Vurgu3 6" xfId="214" xr:uid="{4127A71F-4BC9-4EF7-85AE-2FF230D0226A}"/>
    <cellStyle name="%40 - Vurgu3 7" xfId="215" xr:uid="{A0237B36-D500-4445-A801-B504BEEA56F2}"/>
    <cellStyle name="%40 - Vurgu3 8" xfId="216" xr:uid="{67D46BE6-1F56-4E5C-B5F0-56F5C92EBD5D}"/>
    <cellStyle name="%40 - Vurgu3 9" xfId="217" xr:uid="{7CADD85B-825F-48EE-BAA0-B853704F48E9}"/>
    <cellStyle name="%40 - Vurgu4 10" xfId="218" xr:uid="{57C2AE0E-6F54-4B30-8E65-BFF76ACC70D3}"/>
    <cellStyle name="%40 - Vurgu4 11" xfId="219" xr:uid="{EF023BAB-AB27-435A-A9E1-741FFE47518A}"/>
    <cellStyle name="%40 - Vurgu4 12" xfId="220" xr:uid="{BDFC919E-484B-40EF-B2E0-ED6E49A2E047}"/>
    <cellStyle name="%40 - Vurgu4 13" xfId="221" xr:uid="{89D6E5F4-CD0D-4002-B6D0-61A50B803B12}"/>
    <cellStyle name="%40 - Vurgu4 14" xfId="222" xr:uid="{4E189730-BC32-4B39-983B-511868387DCA}"/>
    <cellStyle name="%40 - Vurgu4 15" xfId="223" xr:uid="{FFF1B6B7-5798-48F7-878B-18B10AB985E3}"/>
    <cellStyle name="%40 - Vurgu4 16" xfId="224" xr:uid="{5A8FD8C5-5E26-4749-A84A-219EDD9765D7}"/>
    <cellStyle name="%40 - Vurgu4 17" xfId="225" xr:uid="{5AA932AF-8926-42FA-965F-73A5840BE2F8}"/>
    <cellStyle name="%40 - Vurgu4 18" xfId="226" xr:uid="{43B0ECCF-40E6-4EC2-AAED-315319EA8F2E}"/>
    <cellStyle name="%40 - Vurgu4 19" xfId="227" xr:uid="{3609C88B-3782-4F53-99C5-B152F3FD3E74}"/>
    <cellStyle name="%40 - Vurgu4 2" xfId="228" xr:uid="{21B95E93-9F85-4777-934B-2D21DF232796}"/>
    <cellStyle name="%40 - Vurgu4 20" xfId="229" xr:uid="{A79F1B54-F8D1-42E9-AA72-9556F953AB06}"/>
    <cellStyle name="%40 - Vurgu4 21" xfId="230" xr:uid="{823BCC17-BDF1-456A-AB20-3930D339FA85}"/>
    <cellStyle name="%40 - Vurgu4 22" xfId="231" xr:uid="{998E5F1A-2F54-4C50-B109-BB977931CC97}"/>
    <cellStyle name="%40 - Vurgu4 23" xfId="232" xr:uid="{B91291B3-2C0D-42D1-8B0D-A108B3F3390C}"/>
    <cellStyle name="%40 - Vurgu4 24" xfId="233" xr:uid="{BA0C5276-1508-43AA-87B5-AD57EEF3ACC3}"/>
    <cellStyle name="%40 - Vurgu4 25" xfId="234" xr:uid="{FF4DBE0E-E089-4AF0-9FBD-D1EE9406A5AE}"/>
    <cellStyle name="%40 - Vurgu4 3" xfId="235" xr:uid="{04683595-934B-4A97-813C-F9152AE6C407}"/>
    <cellStyle name="%40 - Vurgu4 4" xfId="236" xr:uid="{BB59844F-7763-44FF-8EC9-60859817EFCB}"/>
    <cellStyle name="%40 - Vurgu4 5" xfId="237" xr:uid="{3D582B60-7B23-4071-92EA-B3133EA8F938}"/>
    <cellStyle name="%40 - Vurgu4 6" xfId="238" xr:uid="{51DE88A1-902D-464E-B7D2-E99BB2918616}"/>
    <cellStyle name="%40 - Vurgu4 7" xfId="239" xr:uid="{31136D4E-9A1C-4722-B929-CD963AEA3967}"/>
    <cellStyle name="%40 - Vurgu4 8" xfId="240" xr:uid="{9154C706-623A-420E-B7B5-4459677701E3}"/>
    <cellStyle name="%40 - Vurgu4 9" xfId="241" xr:uid="{47692BFC-62A4-4ABE-A678-7DEC612EF175}"/>
    <cellStyle name="%40 - Vurgu5 10" xfId="242" xr:uid="{10090367-13E1-47B9-B9B1-2D2B4D161530}"/>
    <cellStyle name="%40 - Vurgu5 11" xfId="243" xr:uid="{1E1D3F82-BFDE-4FB6-B753-13667EEB1135}"/>
    <cellStyle name="%40 - Vurgu5 12" xfId="244" xr:uid="{7120F924-C1D8-4FAB-B67C-E5F8487FF197}"/>
    <cellStyle name="%40 - Vurgu5 13" xfId="245" xr:uid="{4E443CBB-908F-48C7-A1F8-A16946A05675}"/>
    <cellStyle name="%40 - Vurgu5 14" xfId="246" xr:uid="{06A80FE9-635D-4C9B-BC4E-6BB620DDEC10}"/>
    <cellStyle name="%40 - Vurgu5 15" xfId="247" xr:uid="{DD971753-7D1A-4A29-87AA-F9D641642234}"/>
    <cellStyle name="%40 - Vurgu5 16" xfId="248" xr:uid="{1422D7FA-3C87-451A-A9B1-E9CEE95B1EB6}"/>
    <cellStyle name="%40 - Vurgu5 17" xfId="249" xr:uid="{DEE6D487-4E3F-4623-A3D6-FDFA9D7D88F4}"/>
    <cellStyle name="%40 - Vurgu5 18" xfId="250" xr:uid="{719BAA39-E026-4F89-BFB0-4AA05727AAE5}"/>
    <cellStyle name="%40 - Vurgu5 19" xfId="251" xr:uid="{C63AE0F6-32A4-4BD5-A4DD-AA9F6F89D6F5}"/>
    <cellStyle name="%40 - Vurgu5 2" xfId="252" xr:uid="{9E3DBDAE-DEC3-4172-8DB8-4290E4430D3B}"/>
    <cellStyle name="%40 - Vurgu5 20" xfId="253" xr:uid="{E7F77C16-4BDB-490E-AAB7-4E5E79D40B10}"/>
    <cellStyle name="%40 - Vurgu5 21" xfId="254" xr:uid="{D105215D-0DD6-4C4F-BF28-7F71498A9285}"/>
    <cellStyle name="%40 - Vurgu5 22" xfId="255" xr:uid="{E8639931-2B54-48AB-B85F-8A033F78B7FC}"/>
    <cellStyle name="%40 - Vurgu5 23" xfId="256" xr:uid="{8C80F581-1FAA-4F24-8029-A00F05B83590}"/>
    <cellStyle name="%40 - Vurgu5 24" xfId="257" xr:uid="{210CA65C-75D9-41A1-AFB4-0972BF273AA7}"/>
    <cellStyle name="%40 - Vurgu5 25" xfId="258" xr:uid="{E8205BA2-2EB1-4908-A8E0-A92BBC2BE0F0}"/>
    <cellStyle name="%40 - Vurgu5 3" xfId="259" xr:uid="{5B20B3A3-D97D-4B97-AC44-294EA515DA4E}"/>
    <cellStyle name="%40 - Vurgu5 4" xfId="260" xr:uid="{1F6A755B-D729-4C6E-8B50-EF4B78E6F6EC}"/>
    <cellStyle name="%40 - Vurgu5 5" xfId="261" xr:uid="{722AF897-AD62-482E-AC5B-9CC90525B5CE}"/>
    <cellStyle name="%40 - Vurgu5 6" xfId="262" xr:uid="{EEB51A5B-9C55-4DF2-9867-6E09FF679F54}"/>
    <cellStyle name="%40 - Vurgu5 7" xfId="263" xr:uid="{AD5D75ED-1200-48BD-8043-BDC3CE286756}"/>
    <cellStyle name="%40 - Vurgu5 8" xfId="264" xr:uid="{062B112F-CE00-4983-A1D7-97D4DA11F881}"/>
    <cellStyle name="%40 - Vurgu5 9" xfId="265" xr:uid="{41078A66-E7EF-426B-9236-137DD419646F}"/>
    <cellStyle name="%40 - Vurgu6 10" xfId="266" xr:uid="{878897F5-ED9B-447F-9748-05172787F6FA}"/>
    <cellStyle name="%40 - Vurgu6 11" xfId="267" xr:uid="{F4AFE64C-9D15-4660-94EC-404537F6E19C}"/>
    <cellStyle name="%40 - Vurgu6 12" xfId="268" xr:uid="{505EC3A4-EC46-4AEF-BB52-D145D2E7C393}"/>
    <cellStyle name="%40 - Vurgu6 13" xfId="269" xr:uid="{CA56CDF9-3EF2-48B5-929D-97F0D63D7494}"/>
    <cellStyle name="%40 - Vurgu6 14" xfId="270" xr:uid="{626B75D4-BAD2-48B0-A812-3832789CD370}"/>
    <cellStyle name="%40 - Vurgu6 15" xfId="271" xr:uid="{14874B9A-E273-40E2-BA3D-DCB4B32EDCB8}"/>
    <cellStyle name="%40 - Vurgu6 16" xfId="272" xr:uid="{6AFA94F9-6146-40B3-BEBA-87C9C166ADD5}"/>
    <cellStyle name="%40 - Vurgu6 17" xfId="273" xr:uid="{3DD30F7D-5E68-4114-BC18-22919E47023F}"/>
    <cellStyle name="%40 - Vurgu6 18" xfId="274" xr:uid="{360261C4-72F3-4481-AEEA-A55F4610FD0E}"/>
    <cellStyle name="%40 - Vurgu6 19" xfId="275" xr:uid="{31F9BAFA-28C9-49FC-84C8-2BD6905723AB}"/>
    <cellStyle name="%40 - Vurgu6 2" xfId="276" xr:uid="{21CFE3BE-F38F-4DFA-B52C-38E569FB811F}"/>
    <cellStyle name="%40 - Vurgu6 20" xfId="277" xr:uid="{F991008C-037C-4D05-ABC1-929191B4727F}"/>
    <cellStyle name="%40 - Vurgu6 21" xfId="278" xr:uid="{7327552F-9F5B-4266-A6F2-12C8D885FAE8}"/>
    <cellStyle name="%40 - Vurgu6 22" xfId="279" xr:uid="{41EE352A-5903-41FB-9824-03B2BEA0F638}"/>
    <cellStyle name="%40 - Vurgu6 23" xfId="280" xr:uid="{43D906CB-0A04-43B3-BC58-811AB8A793D7}"/>
    <cellStyle name="%40 - Vurgu6 24" xfId="281" xr:uid="{C400500D-1AC1-44DC-A3DC-034637CB914B}"/>
    <cellStyle name="%40 - Vurgu6 25" xfId="282" xr:uid="{57330762-4F51-489E-A6E2-DEACD71341F7}"/>
    <cellStyle name="%40 - Vurgu6 3" xfId="283" xr:uid="{49DC7083-B04D-4C05-B33A-79BF5B25593E}"/>
    <cellStyle name="%40 - Vurgu6 4" xfId="284" xr:uid="{74B498A4-158A-4E82-90CE-FDACF6B10538}"/>
    <cellStyle name="%40 - Vurgu6 5" xfId="285" xr:uid="{A722E498-5ABB-43B6-9F58-5C3CB1D91C4B}"/>
    <cellStyle name="%40 - Vurgu6 6" xfId="286" xr:uid="{F75F3323-C847-4651-A165-AFFDA8611B13}"/>
    <cellStyle name="%40 - Vurgu6 7" xfId="287" xr:uid="{D7511100-577B-47E1-9157-3541B997B241}"/>
    <cellStyle name="%40 - Vurgu6 8" xfId="288" xr:uid="{108698B2-0319-4344-ABCE-A21A6166B2C0}"/>
    <cellStyle name="%40 - Vurgu6 9" xfId="289" xr:uid="{C7ADC366-EDE8-498A-BFFB-6DDAA18A5047}"/>
    <cellStyle name="%60 - Vurgu1 10" xfId="290" xr:uid="{6260DF42-659F-4603-B445-C6EAEECBBB62}"/>
    <cellStyle name="%60 - Vurgu1 11" xfId="291" xr:uid="{514AA222-1F8F-4CA6-803D-5580C9D5FADD}"/>
    <cellStyle name="%60 - Vurgu1 12" xfId="292" xr:uid="{B323FBF9-62A6-4A34-9927-2318E9E8DEAF}"/>
    <cellStyle name="%60 - Vurgu1 13" xfId="293" xr:uid="{84F9F866-DD36-43AE-8F4A-5AD780F6F5FC}"/>
    <cellStyle name="%60 - Vurgu1 14" xfId="294" xr:uid="{38476892-193D-4AC2-A709-DB3CFA369283}"/>
    <cellStyle name="%60 - Vurgu1 15" xfId="295" xr:uid="{339005EF-43A8-4682-9929-6B6854EBFE4A}"/>
    <cellStyle name="%60 - Vurgu1 16" xfId="296" xr:uid="{774218D3-3978-4DD3-8CF7-045A0F9770C0}"/>
    <cellStyle name="%60 - Vurgu1 17" xfId="297" xr:uid="{52DCF31F-07D9-43F5-A63E-22794ADC7660}"/>
    <cellStyle name="%60 - Vurgu1 18" xfId="298" xr:uid="{24D03801-6740-4AAB-9890-20C2BBFF2A4A}"/>
    <cellStyle name="%60 - Vurgu1 19" xfId="299" xr:uid="{13307F37-136C-4A3B-BAAF-E338C008E1DE}"/>
    <cellStyle name="%60 - Vurgu1 2" xfId="300" xr:uid="{9EC22BE4-7474-4FB4-919E-C261DA3EAD35}"/>
    <cellStyle name="%60 - Vurgu1 20" xfId="301" xr:uid="{44D0515C-0326-4250-8CA9-EA7684444210}"/>
    <cellStyle name="%60 - Vurgu1 21" xfId="302" xr:uid="{B6B74CB7-7853-418F-BE29-7C51B87F40BB}"/>
    <cellStyle name="%60 - Vurgu1 22" xfId="303" xr:uid="{3BF7C3EB-E8CE-4F7A-9665-97684A262776}"/>
    <cellStyle name="%60 - Vurgu1 23" xfId="304" xr:uid="{B32C042D-14AA-47BC-9F92-2978075C6DD0}"/>
    <cellStyle name="%60 - Vurgu1 24" xfId="305" xr:uid="{0D78A2C6-63F8-420A-AE98-DFEBC73ABB42}"/>
    <cellStyle name="%60 - Vurgu1 25" xfId="306" xr:uid="{4F7A406C-D4F3-454D-B3EB-AC63082A745B}"/>
    <cellStyle name="%60 - Vurgu1 3" xfId="307" xr:uid="{9C3D3D4F-4020-4952-B129-FEAAE4D5B0D6}"/>
    <cellStyle name="%60 - Vurgu1 4" xfId="308" xr:uid="{2ACDD6F6-8EEE-4C7B-98F3-E86BBBAA7479}"/>
    <cellStyle name="%60 - Vurgu1 5" xfId="309" xr:uid="{EF5939ED-0972-4657-86FB-AC958CEB21C5}"/>
    <cellStyle name="%60 - Vurgu1 6" xfId="310" xr:uid="{21F49449-CB31-4CC0-AFC2-F4643FCB560E}"/>
    <cellStyle name="%60 - Vurgu1 7" xfId="311" xr:uid="{258341EB-3A30-46AE-A0B2-CE6FAE3D2BED}"/>
    <cellStyle name="%60 - Vurgu1 8" xfId="312" xr:uid="{7873230E-18A4-4862-A947-CF68DA04A0DB}"/>
    <cellStyle name="%60 - Vurgu1 9" xfId="313" xr:uid="{A1674859-BE10-40C7-927F-E9E73977A40E}"/>
    <cellStyle name="%60 - Vurgu2 10" xfId="314" xr:uid="{26389766-A6E7-4CCA-9C84-300E6789EB9C}"/>
    <cellStyle name="%60 - Vurgu2 11" xfId="315" xr:uid="{72AC51D9-41CC-4E3B-818B-D3BE22150EB3}"/>
    <cellStyle name="%60 - Vurgu2 12" xfId="316" xr:uid="{B1280786-BE9E-477B-BE8B-3E5377D8B76E}"/>
    <cellStyle name="%60 - Vurgu2 13" xfId="317" xr:uid="{C7AF8A01-4EA7-48C6-B8B5-029485996D65}"/>
    <cellStyle name="%60 - Vurgu2 14" xfId="318" xr:uid="{62231F49-6B9A-4F6D-9919-355A9192AE09}"/>
    <cellStyle name="%60 - Vurgu2 15" xfId="319" xr:uid="{64EE0CFB-1141-4B73-BB5D-6DDA4BC806E6}"/>
    <cellStyle name="%60 - Vurgu2 16" xfId="320" xr:uid="{3D046F8F-380D-4B36-A591-0A5EFA7EF2F8}"/>
    <cellStyle name="%60 - Vurgu2 17" xfId="321" xr:uid="{0124F901-5D81-46D4-A47D-74C38937B2D8}"/>
    <cellStyle name="%60 - Vurgu2 18" xfId="322" xr:uid="{9D4FD036-45F0-4F27-A485-0669B7FCA72D}"/>
    <cellStyle name="%60 - Vurgu2 19" xfId="323" xr:uid="{4855C4F3-A6D5-438D-8AA4-D05E85B6703C}"/>
    <cellStyle name="%60 - Vurgu2 2" xfId="324" xr:uid="{C0D4F628-9BB7-4CCB-A056-19169C2E2A91}"/>
    <cellStyle name="%60 - Vurgu2 20" xfId="325" xr:uid="{B12B3E94-95A1-4679-AD2A-6032DDAE8805}"/>
    <cellStyle name="%60 - Vurgu2 21" xfId="326" xr:uid="{8793545E-F0A6-4D4C-AE6D-85689637D950}"/>
    <cellStyle name="%60 - Vurgu2 22" xfId="327" xr:uid="{07F0B13F-C338-4927-9E26-F13EE51DE6AC}"/>
    <cellStyle name="%60 - Vurgu2 23" xfId="328" xr:uid="{9A30F2B4-04E4-4CC3-AD00-A198186257A4}"/>
    <cellStyle name="%60 - Vurgu2 24" xfId="329" xr:uid="{42E3AA3B-ED39-4694-85EB-CAB3972A3031}"/>
    <cellStyle name="%60 - Vurgu2 25" xfId="330" xr:uid="{38B9DEAE-870E-4ABA-AE5D-DCC56C875363}"/>
    <cellStyle name="%60 - Vurgu2 3" xfId="331" xr:uid="{E24F0E9E-4379-4808-9A81-4D53392946D2}"/>
    <cellStyle name="%60 - Vurgu2 4" xfId="332" xr:uid="{359DA4AD-6AC2-4882-964B-B080D3554401}"/>
    <cellStyle name="%60 - Vurgu2 5" xfId="333" xr:uid="{ABB822F8-93CA-45B3-92F3-335F131F9450}"/>
    <cellStyle name="%60 - Vurgu2 6" xfId="334" xr:uid="{1C5EF2B2-4A60-4EC4-9270-553B8DD559EB}"/>
    <cellStyle name="%60 - Vurgu2 7" xfId="335" xr:uid="{7EE085C7-A2A3-4189-9373-61E410B7EFAD}"/>
    <cellStyle name="%60 - Vurgu2 8" xfId="336" xr:uid="{BC71AF57-6C30-4F28-BB9D-6E6817943D24}"/>
    <cellStyle name="%60 - Vurgu2 9" xfId="337" xr:uid="{C4122F7E-4BC4-4A1E-9CA8-1110A54A2DDE}"/>
    <cellStyle name="%60 - Vurgu3 10" xfId="338" xr:uid="{13B23719-D853-44C0-9EBD-1751BCEC155D}"/>
    <cellStyle name="%60 - Vurgu3 11" xfId="339" xr:uid="{210F8A3E-6884-4BE7-80E1-8750CBD90A1C}"/>
    <cellStyle name="%60 - Vurgu3 12" xfId="340" xr:uid="{45AABF4E-2958-4401-9175-378D9A82E7D5}"/>
    <cellStyle name="%60 - Vurgu3 13" xfId="341" xr:uid="{C5CB721A-9209-4354-A3EE-7FA68A317B12}"/>
    <cellStyle name="%60 - Vurgu3 14" xfId="342" xr:uid="{21676CBC-94AA-48FB-BA26-8B0988C9B062}"/>
    <cellStyle name="%60 - Vurgu3 15" xfId="343" xr:uid="{235D5FC6-242A-4EE5-8435-783D1ACA2A78}"/>
    <cellStyle name="%60 - Vurgu3 16" xfId="344" xr:uid="{D009715E-FFBD-4B4B-9CD8-CD1998BBCFCD}"/>
    <cellStyle name="%60 - Vurgu3 17" xfId="345" xr:uid="{1AF8E028-030B-47A5-8B16-6CC0D3666D2E}"/>
    <cellStyle name="%60 - Vurgu3 18" xfId="346" xr:uid="{A24E85CD-9C32-490F-B775-A57F8B8ECD19}"/>
    <cellStyle name="%60 - Vurgu3 19" xfId="347" xr:uid="{D0BF00A4-A540-4F5B-8F7C-E15C0A0E65BB}"/>
    <cellStyle name="%60 - Vurgu3 2" xfId="348" xr:uid="{DA41A2BB-DCD8-4F08-B7B6-7C259E2F1E5A}"/>
    <cellStyle name="%60 - Vurgu3 20" xfId="349" xr:uid="{5D8F3D6A-AFF2-403D-9DB2-77D8571943AF}"/>
    <cellStyle name="%60 - Vurgu3 21" xfId="350" xr:uid="{35DCECD6-9D9C-4F4A-9926-F9DB6A51EC52}"/>
    <cellStyle name="%60 - Vurgu3 22" xfId="351" xr:uid="{CB7520C2-09AB-45C4-AAA1-1BF70E314947}"/>
    <cellStyle name="%60 - Vurgu3 23" xfId="352" xr:uid="{8FE48392-EA5D-4F0D-AE30-912BCC796AED}"/>
    <cellStyle name="%60 - Vurgu3 24" xfId="353" xr:uid="{1C59A9A6-43D0-4DAB-8078-F3F05EB236E6}"/>
    <cellStyle name="%60 - Vurgu3 25" xfId="354" xr:uid="{5706A1D5-0EDE-46EB-9DDB-874F7AEF472D}"/>
    <cellStyle name="%60 - Vurgu3 3" xfId="355" xr:uid="{E9CA6CC1-C2C3-4C11-8740-F02727940C2D}"/>
    <cellStyle name="%60 - Vurgu3 4" xfId="356" xr:uid="{144E346B-234B-45C1-AFB5-EE95D71015A1}"/>
    <cellStyle name="%60 - Vurgu3 5" xfId="357" xr:uid="{CE3D3637-35C7-4D74-95A8-A17373007192}"/>
    <cellStyle name="%60 - Vurgu3 6" xfId="358" xr:uid="{6F329DAA-15EC-4703-9F19-5A522778EB8E}"/>
    <cellStyle name="%60 - Vurgu3 7" xfId="359" xr:uid="{8BB900E2-878F-47BE-B1A1-AA11EFCDD24D}"/>
    <cellStyle name="%60 - Vurgu3 8" xfId="360" xr:uid="{73249DF9-DCC3-4DF2-8378-78E63396FE5D}"/>
    <cellStyle name="%60 - Vurgu3 9" xfId="361" xr:uid="{1088095F-DE7C-43E4-844E-9198318999AD}"/>
    <cellStyle name="%60 - Vurgu4 10" xfId="362" xr:uid="{086ADCA7-A21E-490E-A25D-A75AF9BA9FBD}"/>
    <cellStyle name="%60 - Vurgu4 11" xfId="363" xr:uid="{F4378099-5FC9-4DE9-83DC-173D7560F3CD}"/>
    <cellStyle name="%60 - Vurgu4 12" xfId="364" xr:uid="{39EFFB3B-FDF8-488D-ACAC-68D649BC24EF}"/>
    <cellStyle name="%60 - Vurgu4 13" xfId="365" xr:uid="{1B536541-C9D0-4CA5-AA2D-3B65818941EC}"/>
    <cellStyle name="%60 - Vurgu4 14" xfId="366" xr:uid="{0E0CD6FB-0F8C-47A4-BB9C-260854974A5A}"/>
    <cellStyle name="%60 - Vurgu4 15" xfId="367" xr:uid="{B27AAF6C-E259-4538-B3A2-F4FD1636D3C3}"/>
    <cellStyle name="%60 - Vurgu4 16" xfId="368" xr:uid="{45378A2F-CCEA-4148-B956-AF8E8410FC43}"/>
    <cellStyle name="%60 - Vurgu4 17" xfId="369" xr:uid="{A9BFEEF2-E170-4CB2-8757-F87C5EFD343A}"/>
    <cellStyle name="%60 - Vurgu4 18" xfId="370" xr:uid="{7C58A3D1-4557-4041-86AF-E855CFDD6917}"/>
    <cellStyle name="%60 - Vurgu4 19" xfId="371" xr:uid="{31CD81F9-BF68-4587-A650-59CB12A3B51A}"/>
    <cellStyle name="%60 - Vurgu4 2" xfId="372" xr:uid="{9CF6506F-DCB3-4468-88EA-7268D4CB6514}"/>
    <cellStyle name="%60 - Vurgu4 20" xfId="373" xr:uid="{19177828-F2E4-48DA-BE8F-A03220552605}"/>
    <cellStyle name="%60 - Vurgu4 21" xfId="374" xr:uid="{A94CE346-60CC-4F47-8710-6FD7C8DB8B44}"/>
    <cellStyle name="%60 - Vurgu4 22" xfId="375" xr:uid="{B7431F94-2AF4-40A9-A59C-59268944BE38}"/>
    <cellStyle name="%60 - Vurgu4 23" xfId="376" xr:uid="{CD814779-3A6F-4C81-8049-D4CD81AA85BA}"/>
    <cellStyle name="%60 - Vurgu4 24" xfId="377" xr:uid="{13673C2F-DA91-4457-9560-AFC279F3096C}"/>
    <cellStyle name="%60 - Vurgu4 25" xfId="378" xr:uid="{F1F6BE26-AB42-47AA-A199-73B03AC3F533}"/>
    <cellStyle name="%60 - Vurgu4 3" xfId="379" xr:uid="{7536AF96-8581-41BF-B795-85C8BB171839}"/>
    <cellStyle name="%60 - Vurgu4 4" xfId="380" xr:uid="{DE941CDC-7D1B-47D6-BB34-ACCB96F83FBF}"/>
    <cellStyle name="%60 - Vurgu4 5" xfId="381" xr:uid="{15DAE30D-6196-4544-A41D-9B6734373FF1}"/>
    <cellStyle name="%60 - Vurgu4 6" xfId="382" xr:uid="{B1DE769D-2341-450C-9AE9-7035A3EB9659}"/>
    <cellStyle name="%60 - Vurgu4 7" xfId="383" xr:uid="{3B9002F8-AFEC-4590-918F-44A1CC485498}"/>
    <cellStyle name="%60 - Vurgu4 8" xfId="384" xr:uid="{8169E4CA-8CBA-4B72-A2A4-17E8C7C53207}"/>
    <cellStyle name="%60 - Vurgu4 9" xfId="385" xr:uid="{56534FC6-5942-4AAC-9919-09D5917EBFB2}"/>
    <cellStyle name="%60 - Vurgu5 10" xfId="386" xr:uid="{40A5A431-FDD0-49F2-A972-11162386FAE9}"/>
    <cellStyle name="%60 - Vurgu5 11" xfId="387" xr:uid="{F2AC35FA-6753-4104-B052-F5AB7BAAB99F}"/>
    <cellStyle name="%60 - Vurgu5 12" xfId="388" xr:uid="{0CF535C5-404F-425C-A2CD-6CE209574DB1}"/>
    <cellStyle name="%60 - Vurgu5 13" xfId="389" xr:uid="{1EC7C746-E963-4CAB-97D9-10D8D33BE690}"/>
    <cellStyle name="%60 - Vurgu5 14" xfId="390" xr:uid="{21FB3E84-E6AF-4EEB-A72F-B2DC79A49FE5}"/>
    <cellStyle name="%60 - Vurgu5 15" xfId="391" xr:uid="{8214D768-5833-42F8-BA66-ED80F8F67DB9}"/>
    <cellStyle name="%60 - Vurgu5 16" xfId="392" xr:uid="{26610733-BAE5-4A22-9F67-462AC243D339}"/>
    <cellStyle name="%60 - Vurgu5 17" xfId="393" xr:uid="{03D1CD08-F708-40B4-BB52-6EACCF295765}"/>
    <cellStyle name="%60 - Vurgu5 18" xfId="394" xr:uid="{ADDCD3A4-9A76-4AD2-ABDC-1CBB158A9F02}"/>
    <cellStyle name="%60 - Vurgu5 19" xfId="395" xr:uid="{3187D057-11B9-453E-BC1B-9BF9F292C235}"/>
    <cellStyle name="%60 - Vurgu5 2" xfId="396" xr:uid="{C83C6CEF-F0D3-4667-A87B-8EDF68464C57}"/>
    <cellStyle name="%60 - Vurgu5 20" xfId="397" xr:uid="{75F962DF-77ED-431B-A1ED-EB4BE754CEF4}"/>
    <cellStyle name="%60 - Vurgu5 21" xfId="398" xr:uid="{1C406E08-0F9B-42BF-A93D-7374D014F4A1}"/>
    <cellStyle name="%60 - Vurgu5 22" xfId="399" xr:uid="{95FD9D04-791A-4047-A525-F64F9AA10C5C}"/>
    <cellStyle name="%60 - Vurgu5 23" xfId="400" xr:uid="{FEF441B8-1984-458D-9055-ABD549AD20B4}"/>
    <cellStyle name="%60 - Vurgu5 24" xfId="401" xr:uid="{FC03BEC8-EB36-4B28-A286-80406E797EDC}"/>
    <cellStyle name="%60 - Vurgu5 25" xfId="402" xr:uid="{C72FEEAF-8D79-4EE0-B94C-04389755B069}"/>
    <cellStyle name="%60 - Vurgu5 3" xfId="403" xr:uid="{404517FC-67D8-4439-87E3-102EAC1C3104}"/>
    <cellStyle name="%60 - Vurgu5 4" xfId="404" xr:uid="{301FCA93-925C-49DB-9A69-188BC2F18E3E}"/>
    <cellStyle name="%60 - Vurgu5 5" xfId="405" xr:uid="{D530166D-427B-4327-88B7-87DBB7520A8B}"/>
    <cellStyle name="%60 - Vurgu5 6" xfId="406" xr:uid="{C6BC5BC7-2965-4477-AFCD-9686ACDB0526}"/>
    <cellStyle name="%60 - Vurgu5 7" xfId="407" xr:uid="{8C26AA66-21AB-497B-965E-F821FB684D1E}"/>
    <cellStyle name="%60 - Vurgu5 8" xfId="408" xr:uid="{30B6FE1D-9C68-49D0-94AB-196FFC220124}"/>
    <cellStyle name="%60 - Vurgu5 9" xfId="409" xr:uid="{3762FD56-38FB-4D73-938C-878B08E6C582}"/>
    <cellStyle name="%60 - Vurgu6 10" xfId="410" xr:uid="{46899E21-F464-4554-A873-1DA650FC3C3A}"/>
    <cellStyle name="%60 - Vurgu6 11" xfId="411" xr:uid="{580A27C9-4FB9-4900-9EEF-E5FE75B9A5C3}"/>
    <cellStyle name="%60 - Vurgu6 12" xfId="412" xr:uid="{B5CF328D-6553-4036-8011-EE691BD095E2}"/>
    <cellStyle name="%60 - Vurgu6 13" xfId="413" xr:uid="{01591DD9-A6CC-47AE-98F5-81200828453B}"/>
    <cellStyle name="%60 - Vurgu6 14" xfId="414" xr:uid="{88E9675A-6644-4638-A11C-A0CB75B194C5}"/>
    <cellStyle name="%60 - Vurgu6 15" xfId="415" xr:uid="{17715FD6-F5BE-47A3-AAB0-339FD03752BD}"/>
    <cellStyle name="%60 - Vurgu6 16" xfId="416" xr:uid="{BE8DB135-5184-4661-B59C-EB50DBCFFEB3}"/>
    <cellStyle name="%60 - Vurgu6 17" xfId="417" xr:uid="{219A4413-30BD-45AC-8117-9B38B0999471}"/>
    <cellStyle name="%60 - Vurgu6 18" xfId="418" xr:uid="{B99D32CA-7676-44A1-972B-6A721789DC9F}"/>
    <cellStyle name="%60 - Vurgu6 19" xfId="419" xr:uid="{38C3EE23-B5FE-49C1-A00D-CDE7966E8874}"/>
    <cellStyle name="%60 - Vurgu6 2" xfId="420" xr:uid="{7D884F58-4578-4A5A-B782-E18A6C321F20}"/>
    <cellStyle name="%60 - Vurgu6 20" xfId="421" xr:uid="{6D2AF319-DBC7-4F0C-9A7A-1AC5830980F6}"/>
    <cellStyle name="%60 - Vurgu6 21" xfId="422" xr:uid="{2218CA17-EA85-440D-97BA-06F4D1F39CAB}"/>
    <cellStyle name="%60 - Vurgu6 22" xfId="423" xr:uid="{7E85E10C-2626-4E6D-9264-067F530C5143}"/>
    <cellStyle name="%60 - Vurgu6 23" xfId="424" xr:uid="{82DD7BB4-CDDF-4E97-A29D-930EA0F29FBC}"/>
    <cellStyle name="%60 - Vurgu6 24" xfId="425" xr:uid="{B9361B5F-D252-4556-9A64-FDE1E514B734}"/>
    <cellStyle name="%60 - Vurgu6 25" xfId="426" xr:uid="{3DEEB553-94EC-4AC3-B879-3C294AF591F0}"/>
    <cellStyle name="%60 - Vurgu6 3" xfId="427" xr:uid="{AB31F43D-64F2-4221-B7DD-32812B000C73}"/>
    <cellStyle name="%60 - Vurgu6 4" xfId="428" xr:uid="{5B270810-88F1-46AE-906C-B00ADB547F62}"/>
    <cellStyle name="%60 - Vurgu6 5" xfId="429" xr:uid="{8AFF3829-D249-4D9D-AFA3-A11F4B8BF8A2}"/>
    <cellStyle name="%60 - Vurgu6 6" xfId="430" xr:uid="{FFE65F65-90CE-4B77-BEE1-B70C982926CB}"/>
    <cellStyle name="%60 - Vurgu6 7" xfId="431" xr:uid="{6573DFD4-028E-4F16-8DF4-005BC27203BC}"/>
    <cellStyle name="%60 - Vurgu6 8" xfId="432" xr:uid="{CC5BB8C7-F84C-40D2-99C3-31AA15E96815}"/>
    <cellStyle name="%60 - Vurgu6 9" xfId="433" xr:uid="{029FC316-2A5B-4676-A517-A9E88EEDE2FB}"/>
    <cellStyle name="_ABAY_Budget_table" xfId="434" xr:uid="{662E1904-7EC4-419A-B471-555D944F7D3E}"/>
    <cellStyle name="_List_of_contracts" xfId="435" xr:uid="{F4463FB2-0DD3-4F23-BF87-689AEE99DAE7}"/>
    <cellStyle name="_Michurinsky_Mekanik_Isler_Teklifi" xfId="436" xr:uid="{AFB36567-CC26-46D2-BF53-2CCF1444DE08}"/>
    <cellStyle name="_PENDIK+AVM+METRAJLISTESI" xfId="437" xr:uid="{5C6388B5-D422-4B29-BF08-3B116753A7F8}"/>
    <cellStyle name="_PENDIK+AVM+METRAJLISTESI_1" xfId="438" xr:uid="{27267DF6-881F-4420-8FA5-3EA640786278}"/>
    <cellStyle name="_PENDIK+AVM+METRAJLISTESI_2" xfId="439" xr:uid="{25CF9405-1208-46B6-8DB5-D6CF43423D6D}"/>
    <cellStyle name="_PENDIK+AVM+METRAJLISTESI_3" xfId="440" xr:uid="{28AD9838-C7C9-4111-8899-E5480090B8BE}"/>
    <cellStyle name="_PENDIK+AVM+METRAJLISTESI_4" xfId="441" xr:uid="{1F7A892D-0D68-4725-A01F-69DDE1D6FEC5}"/>
    <cellStyle name="_PENDIK+AVM+METRAJLISTESI_5" xfId="442" xr:uid="{C9DFD044-2234-4AEC-ABB6-F96DDD83CC21}"/>
    <cellStyle name="_PENDIK+AVM+METRAJLISTESI_6" xfId="443" xr:uid="{40D559BC-49A6-48FE-84B4-DCDCF4956C92}"/>
    <cellStyle name="_PENDIK+AVM+METRAJLISTESI_7" xfId="444" xr:uid="{F987C100-DF01-4E11-992C-64348FBC9F36}"/>
    <cellStyle name="_PENDIK+AVM+METRAJLISTESI_8" xfId="445" xr:uid="{F15DD861-25C0-4B22-9BF8-CCAEB626CD36}"/>
    <cellStyle name="_PENDIK+AVM+METRAJLISTESI_9" xfId="446" xr:uid="{ED957692-7107-4349-BF46-EFA8CBB9FB80}"/>
    <cellStyle name="_PENDIK+AVM+METRAJLISTESI_A" xfId="447" xr:uid="{1D292916-7038-4D58-81A8-FAB07152C532}"/>
    <cellStyle name="_PENDIK+AVM+METRAJLISTESI_B" xfId="448" xr:uid="{D4A7D5FA-04F5-40A9-903B-F9A8631770C3}"/>
    <cellStyle name="_PENDIK+AVM+METRAJLISTESI_C" xfId="449" xr:uid="{393C2985-FA8A-4A9F-9D1C-A6A1E920DB4C}"/>
    <cellStyle name="_PENDIK+AVM+METRAJLISTESI_D" xfId="450" xr:uid="{72530B8C-46B6-4224-9688-A7889010330D}"/>
    <cellStyle name="_PENDIK+AVM+METRAJLISTESI_E" xfId="451" xr:uid="{A94792C5-B48A-4FB8-BDD5-5C14E5F6F7C9}"/>
    <cellStyle name="_Toggliatti-ilkteklifasrev1" xfId="452" xr:uid="{66FC0693-C3BF-4F56-857B-A0A5BB5843F5}"/>
    <cellStyle name="=C:\WINDOWS\SYSTEM32\COMMAND.COM" xfId="453" xr:uid="{C488940C-372A-4A50-83FF-1DD5F302808D}"/>
    <cellStyle name="•W_laroux" xfId="454" xr:uid="{28C9D319-E8BE-453C-A1E2-CB0A40CCE1D2}"/>
    <cellStyle name="20 % - Accent1" xfId="455" xr:uid="{2C21FCF9-CCC0-4DF5-AE58-3F5E5B7F8E0D}"/>
    <cellStyle name="20 % - Accent2" xfId="456" xr:uid="{297278C8-6617-4D2C-A2DD-D935F85C96DD}"/>
    <cellStyle name="20 % - Accent3" xfId="457" xr:uid="{50DB48C2-E3D2-4F78-9B65-F38FDC187CA9}"/>
    <cellStyle name="20 % - Accent4" xfId="458" xr:uid="{EB9F4916-F273-4078-865E-98AF551526B8}"/>
    <cellStyle name="20 % - Accent5" xfId="459" xr:uid="{F08E5DE1-1EEB-432B-85C7-9126A01F0120}"/>
    <cellStyle name="20 % - Accent6" xfId="460" xr:uid="{529138A6-A5B7-4B8A-A661-F10BC5A9E00C}"/>
    <cellStyle name="20% - Accent1" xfId="461" xr:uid="{49B9671D-219F-48BE-93E6-33FFD875961F}"/>
    <cellStyle name="20% - Accent2" xfId="462" xr:uid="{3CAE7CA6-50FE-41F8-9211-B693C6C3DCEF}"/>
    <cellStyle name="20% - Accent3" xfId="463" xr:uid="{841390E7-E3D7-4611-A9D9-A3670806D7A1}"/>
    <cellStyle name="20% - Accent4" xfId="464" xr:uid="{D4722F4F-3715-42E9-AE40-7474E120DBFE}"/>
    <cellStyle name="20% - Accent5" xfId="465" xr:uid="{929BDEB4-0043-48EC-9461-4B31AADD5830}"/>
    <cellStyle name="20% - Accent6" xfId="466" xr:uid="{B13A091D-56D6-4650-997C-2FF74534687A}"/>
    <cellStyle name="40 % - Accent1" xfId="467" xr:uid="{2E43B5FC-3B75-4AC2-A93C-2797FFF39BA9}"/>
    <cellStyle name="40 % - Accent2" xfId="468" xr:uid="{8982EDA7-3AA1-4755-AAE0-9875C269860B}"/>
    <cellStyle name="40 % - Accent3" xfId="469" xr:uid="{A6D46D34-CCAC-4D56-8E7F-6E750BC9B473}"/>
    <cellStyle name="40 % - Accent4" xfId="470" xr:uid="{6B5B3C9B-A6D3-4FA5-BD92-D9A6C230C17C}"/>
    <cellStyle name="40 % - Accent5" xfId="471" xr:uid="{B094853E-A6C3-4A7A-AF86-0E997D2FF559}"/>
    <cellStyle name="40 % - Accent6" xfId="472" xr:uid="{22E80E94-D7DD-4EDB-A958-5AB5E0B2E612}"/>
    <cellStyle name="40% - Accent1" xfId="473" xr:uid="{3114D3D0-7F46-4764-9C0F-E6714852D16F}"/>
    <cellStyle name="40% - Accent2" xfId="474" xr:uid="{4784C877-6A05-4CE5-8D73-88C4D9EE57CB}"/>
    <cellStyle name="40% - Accent3" xfId="475" xr:uid="{A3054CC5-8F74-47C0-968C-D4187EB21D30}"/>
    <cellStyle name="40% - Accent4" xfId="476" xr:uid="{D77C1893-365F-4453-AF08-AD0F400028B2}"/>
    <cellStyle name="40% - Accent5" xfId="477" xr:uid="{608E6E8A-4CDF-42AE-9141-AAB2D84B492A}"/>
    <cellStyle name="40% - Accent6" xfId="478" xr:uid="{00CBD76A-1DD0-468F-8FAE-02F03C6A3FED}"/>
    <cellStyle name="60 % - Accent1" xfId="479" xr:uid="{82B3626B-5BF4-464C-AA79-0B5FB4918784}"/>
    <cellStyle name="60 % - Accent2" xfId="480" xr:uid="{C39EFC48-000F-4830-AB39-D55ECD08516C}"/>
    <cellStyle name="60 % - Accent3" xfId="481" xr:uid="{5FF01732-377C-449C-9F99-1AFE1B8F7EB8}"/>
    <cellStyle name="60 % - Accent4" xfId="482" xr:uid="{4A92DEDF-DC73-4B8C-BC87-C45B4938C2A2}"/>
    <cellStyle name="60 % - Accent5" xfId="483" xr:uid="{0BAFA4CD-0FF8-48E5-AD74-E4C0063DFBE4}"/>
    <cellStyle name="60 % - Accent6" xfId="484" xr:uid="{BB36396D-A001-4542-A481-1D326B430B61}"/>
    <cellStyle name="60% - Accent1" xfId="485" xr:uid="{1D449A6B-11FB-4F01-855B-32585D1C8C59}"/>
    <cellStyle name="60% - Accent2" xfId="486" xr:uid="{4EC5D4C4-E9C8-4505-BED6-BC2FFAE6BF03}"/>
    <cellStyle name="60% - Accent3" xfId="487" xr:uid="{9874F7D8-7E6A-42B2-8859-A4146ECEAA94}"/>
    <cellStyle name="60% - Accent4" xfId="488" xr:uid="{0E4417E5-9E8F-4BB4-9A0E-D937F78ABDF1}"/>
    <cellStyle name="60% - Accent5" xfId="489" xr:uid="{D8BE006A-D831-4925-8311-8B797A46E8F8}"/>
    <cellStyle name="60% - Accent6" xfId="490" xr:uid="{F9576FBC-BB94-4008-AAF1-9B872FFA0626}"/>
    <cellStyle name="Accent1" xfId="491" xr:uid="{F7EB8D84-06E0-4CAD-AE18-11C4A0AFEE78}"/>
    <cellStyle name="Accent2" xfId="492" xr:uid="{DDEB7873-B770-4D35-940A-ADD8A952169F}"/>
    <cellStyle name="Accent3" xfId="493" xr:uid="{3DA6C6D0-AB32-4573-AD67-3D7DC1E7E3B6}"/>
    <cellStyle name="Accent4" xfId="494" xr:uid="{383D9FE6-85D0-406B-9B01-0B9AC862B48B}"/>
    <cellStyle name="Accent5" xfId="495" xr:uid="{CEE99E6D-3783-4700-B7C8-10930802B390}"/>
    <cellStyle name="Accent6" xfId="496" xr:uid="{DBDB1104-CE10-450A-8811-3E48B60642D8}"/>
    <cellStyle name="ACIKLAMA" xfId="497" xr:uid="{E7A0BBA0-1ED1-47F4-A142-7933C1AB957F}"/>
    <cellStyle name="active" xfId="498" xr:uid="{D76A88E0-4245-4DC9-8740-B516FDAC9413}"/>
    <cellStyle name="Açıklama Metni 10" xfId="499" xr:uid="{96217D22-85C3-42DC-B9FA-B7E80242B847}"/>
    <cellStyle name="Açıklama Metni 11" xfId="500" xr:uid="{8D7D6F61-FA24-4233-9A1C-231A53EFAD43}"/>
    <cellStyle name="Açıklama Metni 12" xfId="501" xr:uid="{BD213317-0477-4DCA-B596-9C07AC40C364}"/>
    <cellStyle name="Açıklama Metni 13" xfId="502" xr:uid="{4B530EDC-E25F-4A01-AD84-0323D3B4EB3C}"/>
    <cellStyle name="Açıklama Metni 14" xfId="503" xr:uid="{F3A1F3FE-872D-4601-8F5B-F4C28A6279F5}"/>
    <cellStyle name="Açıklama Metni 15" xfId="504" xr:uid="{A2DA3C5E-B700-48BC-869E-A196052CBD26}"/>
    <cellStyle name="Açıklama Metni 16" xfId="505" xr:uid="{7CB8CE35-9256-4935-A187-8A7B6FA6379C}"/>
    <cellStyle name="Açıklama Metni 17" xfId="506" xr:uid="{3F5D08E4-2E71-4FF7-984E-46CCA0D33CC3}"/>
    <cellStyle name="Açıklama Metni 18" xfId="507" xr:uid="{955CE31C-192B-49EF-A2DE-3112ABAB2FFD}"/>
    <cellStyle name="Açıklama Metni 19" xfId="508" xr:uid="{5EFAEEC1-3B98-40C6-B39C-0AE848DDA673}"/>
    <cellStyle name="Açıklama Metni 2" xfId="509" xr:uid="{02E0299B-984D-4BAD-85DA-F7A870C1BDEC}"/>
    <cellStyle name="Açıklama Metni 20" xfId="510" xr:uid="{F76C91AB-DD06-4A6D-928F-32A3F40B011B}"/>
    <cellStyle name="Açıklama Metni 21" xfId="511" xr:uid="{A488C77F-4432-44EE-9750-D409D57F7604}"/>
    <cellStyle name="Açıklama Metni 22" xfId="512" xr:uid="{E5647724-9E94-45D5-9002-10CC2FFC22A7}"/>
    <cellStyle name="Açıklama Metni 23" xfId="513" xr:uid="{5B6B4B70-1554-4803-ABF3-13542CDF8962}"/>
    <cellStyle name="Açıklama Metni 24" xfId="514" xr:uid="{2DD1CFC8-3D2C-47C4-BC20-D55A246575B2}"/>
    <cellStyle name="Açıklama Metni 25" xfId="515" xr:uid="{72CBBBE3-B1AB-4FEE-8771-4DCAEC0A4FBB}"/>
    <cellStyle name="Açıklama Metni 3" xfId="516" xr:uid="{DF46596E-F733-419C-A57D-633AB523EFDC}"/>
    <cellStyle name="Açıklama Metni 4" xfId="517" xr:uid="{0BF6FD27-F8F9-462B-9DAB-02BDF4D9349E}"/>
    <cellStyle name="Açıklama Metni 5" xfId="518" xr:uid="{1E4D0ACD-5C1B-4AD3-B2D7-7EE08C68AE4E}"/>
    <cellStyle name="Açıklama Metni 6" xfId="519" xr:uid="{0C24819A-FF7D-4BF1-81DC-2915A7CFF622}"/>
    <cellStyle name="Açıklama Metni 7" xfId="520" xr:uid="{A5F67CCB-1C07-4F4A-BE93-59AC91F3F66E}"/>
    <cellStyle name="Açıklama Metni 8" xfId="521" xr:uid="{46B24FA7-AB2F-4DE2-862E-D9504C589675}"/>
    <cellStyle name="Açıklama Metni 9" xfId="522" xr:uid="{85C1B046-3F0E-4B77-97CD-441BE30A61A5}"/>
    <cellStyle name="ADET" xfId="523" xr:uid="{6ACEC487-D469-438A-927A-060524E128E5}"/>
    <cellStyle name="adn" xfId="524" xr:uid="{712B692D-D4BD-43EC-93B7-1AA6F4E90249}"/>
    <cellStyle name="Ana Başlık 10" xfId="525" xr:uid="{4811442F-BA7D-4CCA-AC89-C49F8675FD7F}"/>
    <cellStyle name="Ana Başlık 11" xfId="526" xr:uid="{609D6C0C-F99C-4FA8-ACFF-7AFCD305975B}"/>
    <cellStyle name="Ana Başlık 12" xfId="527" xr:uid="{B31E106B-00FB-4AAB-BB73-57829E51FDEC}"/>
    <cellStyle name="Ana Başlık 13" xfId="528" xr:uid="{A5F701D4-F2B5-42AC-BACD-2B21E63D6124}"/>
    <cellStyle name="Ana Başlık 14" xfId="529" xr:uid="{BD2744A4-364E-4209-A011-E10B53051CF8}"/>
    <cellStyle name="Ana Başlık 15" xfId="530" xr:uid="{4E5D814B-9619-4DE4-8FA4-3784356E5C99}"/>
    <cellStyle name="Ana Başlık 16" xfId="531" xr:uid="{6E6F8D73-64E5-4038-B888-2FD952DA3D5C}"/>
    <cellStyle name="Ana Başlık 17" xfId="532" xr:uid="{2ACCA69E-65E3-4E03-87E3-11906D949B65}"/>
    <cellStyle name="Ana Başlık 18" xfId="533" xr:uid="{824DE3DF-1051-44C2-8CFF-6BFE8A686005}"/>
    <cellStyle name="Ana Başlık 19" xfId="534" xr:uid="{F8B51513-8B5E-4D5B-95EE-3A0B89779700}"/>
    <cellStyle name="Ana Başlık 2" xfId="535" xr:uid="{0661444C-44B6-4106-AAD3-C9B3CB967944}"/>
    <cellStyle name="Ana Başlık 20" xfId="536" xr:uid="{761144AE-7182-45EA-9F58-64045FBB6137}"/>
    <cellStyle name="Ana Başlık 21" xfId="537" xr:uid="{0462BC52-916E-43CC-AC2E-DD5B063838F6}"/>
    <cellStyle name="Ana Başlık 22" xfId="538" xr:uid="{250C6D5A-341D-4E4A-AA9B-F3511B325A0F}"/>
    <cellStyle name="Ana Başlık 23" xfId="539" xr:uid="{D37D932F-639E-4C66-9DB2-B79A57035367}"/>
    <cellStyle name="Ana Başlık 24" xfId="540" xr:uid="{6DC56D7B-E48D-4307-8F49-FDE03FEB2521}"/>
    <cellStyle name="Ana Başlık 25" xfId="541" xr:uid="{FE16B519-5176-4425-8C90-C05C7B32E003}"/>
    <cellStyle name="Ana Başlık 3" xfId="542" xr:uid="{1C7A3259-D20C-42D4-B9CF-5E78BEED0741}"/>
    <cellStyle name="Ana Başlık 4" xfId="543" xr:uid="{1C4E438B-2377-48CC-B3ED-7FBAB563D40F}"/>
    <cellStyle name="Ana Başlık 5" xfId="544" xr:uid="{889B986C-3524-4E63-B6B9-E4ED55AE176B}"/>
    <cellStyle name="Ana Başlık 6" xfId="545" xr:uid="{236BE3B5-EECA-4225-9FD4-927284DEF0B0}"/>
    <cellStyle name="Ana Başlık 7" xfId="546" xr:uid="{2DBD65F0-788C-45E6-86B9-1D4D7B4886B4}"/>
    <cellStyle name="Ana Başlık 8" xfId="547" xr:uid="{41B4EE0C-DF85-4CBE-A9F1-0AC9C84F4DAB}"/>
    <cellStyle name="Ana Başlık 9" xfId="548" xr:uid="{78729A44-595D-48B1-B7E1-DA2AE4922724}"/>
    <cellStyle name="Arial 9 Black" xfId="549" xr:uid="{EE024658-CB0D-428E-98EC-2CF41C6F2777}"/>
    <cellStyle name="Arial 9 Blue Bold" xfId="550" xr:uid="{5AC2C6C4-70F0-4A35-BFFD-20A46E63CA23}"/>
    <cellStyle name="Ariel 7 pt. plain" xfId="551" xr:uid="{83ECE534-8BC6-4FB9-B28D-C9683D3159EF}"/>
    <cellStyle name="Avertissement" xfId="552" xr:uid="{32D81390-D88C-493E-B9CA-92CDF1F1C8D9}"/>
    <cellStyle name="Bad" xfId="553" xr:uid="{F3D0C58A-BEF1-464B-B3CD-C50627747F8B}"/>
    <cellStyle name="Bağlı Hücre 10" xfId="554" xr:uid="{5902046A-4E67-4086-AB6F-C5B0F3F36C19}"/>
    <cellStyle name="Bağlı Hücre 11" xfId="555" xr:uid="{712A17C1-19AD-4036-B172-B825062D7034}"/>
    <cellStyle name="Bağlı Hücre 12" xfId="556" xr:uid="{D58CEBFC-6E0D-4A23-9814-EA997FDFB135}"/>
    <cellStyle name="Bağlı Hücre 13" xfId="557" xr:uid="{F2A83D5B-7497-482D-AD7F-93F4E02B0C02}"/>
    <cellStyle name="Bağlı Hücre 14" xfId="558" xr:uid="{9B044B5B-2F7D-4D38-B4F6-508A32577094}"/>
    <cellStyle name="Bağlı Hücre 15" xfId="559" xr:uid="{F1BA55A2-8EA2-4A85-B7E1-408312423732}"/>
    <cellStyle name="Bağlı Hücre 16" xfId="560" xr:uid="{D4B730BE-602C-472E-BF3E-3AAEBED43453}"/>
    <cellStyle name="Bağlı Hücre 17" xfId="561" xr:uid="{52593102-9C11-485E-8D66-CFBB443D76E7}"/>
    <cellStyle name="Bağlı Hücre 18" xfId="562" xr:uid="{80A43E13-AD9D-472C-A3B8-550FDCE77CF6}"/>
    <cellStyle name="Bağlı Hücre 19" xfId="563" xr:uid="{7213FE77-5FDE-4D5C-BBE8-21C0D1B44F97}"/>
    <cellStyle name="Bağlı Hücre 2" xfId="564" xr:uid="{3B1DD779-EDB3-45DD-AACB-3DC463D75C54}"/>
    <cellStyle name="Bağlı Hücre 20" xfId="565" xr:uid="{D7B745E4-EC24-46C8-999C-FEB2082A8FF1}"/>
    <cellStyle name="Bağlı Hücre 21" xfId="566" xr:uid="{3559C9CE-635F-4B1F-AB0B-43F2DC05CFB7}"/>
    <cellStyle name="Bağlı Hücre 22" xfId="567" xr:uid="{5B550F7F-3A63-4C13-9765-47B9626D48D9}"/>
    <cellStyle name="Bağlı Hücre 23" xfId="568" xr:uid="{E82BCB92-5A05-445A-946A-E1666F4B7E80}"/>
    <cellStyle name="Bağlı Hücre 24" xfId="569" xr:uid="{FFEECD19-8087-431E-ABFE-6C37B663319E}"/>
    <cellStyle name="Bağlı Hücre 25" xfId="570" xr:uid="{DB6BA5FA-5F0A-435B-B3AC-12F8887BFD13}"/>
    <cellStyle name="Bağlı Hücre 3" xfId="571" xr:uid="{0352F912-E786-4F40-9FD3-83D2B04A9981}"/>
    <cellStyle name="Bağlı Hücre 4" xfId="572" xr:uid="{E1A768F7-DCFE-44CE-95A5-6739C0022EB2}"/>
    <cellStyle name="Bağlı Hücre 5" xfId="573" xr:uid="{89F95C31-AF24-48C9-90E6-D2B9B56E12FE}"/>
    <cellStyle name="Bağlı Hücre 6" xfId="574" xr:uid="{8285C149-DF06-44DA-8FF5-9DA2E95A17AE}"/>
    <cellStyle name="Bağlı Hücre 7" xfId="575" xr:uid="{8046E5AF-057D-4496-948D-BF2C56208965}"/>
    <cellStyle name="Bağlı Hücre 8" xfId="576" xr:uid="{5AA100C6-7A75-4BA6-B503-97339BC874DB}"/>
    <cellStyle name="Bağlı Hücre 9" xfId="577" xr:uid="{257AD011-9367-49DF-B4A8-C4B30A13180F}"/>
    <cellStyle name="BASLIK" xfId="578" xr:uid="{50FE338E-D205-4D81-B7E9-712C6F04D6EA}"/>
    <cellStyle name="Başlık 1 10" xfId="579" xr:uid="{8D646CDE-9105-4A7B-AE81-85BE1C212D5E}"/>
    <cellStyle name="Başlık 1 11" xfId="580" xr:uid="{19F45C7A-2BA4-4421-980F-77FD1D5E12A1}"/>
    <cellStyle name="Başlık 1 12" xfId="581" xr:uid="{A5311CBF-F750-4A97-8549-58B171E71B7F}"/>
    <cellStyle name="Başlık 1 13" xfId="582" xr:uid="{C11F55EF-34B4-4F9C-9CEB-070777BF4192}"/>
    <cellStyle name="Başlık 1 14" xfId="583" xr:uid="{3AC528F8-CF00-45A9-9F7F-15B40A45B409}"/>
    <cellStyle name="Başlık 1 15" xfId="584" xr:uid="{1CB60395-FB44-4DEC-9302-1D9A80581CC9}"/>
    <cellStyle name="Başlık 1 16" xfId="585" xr:uid="{43D5447F-A07F-4E2B-AF71-BA427E8F8C7F}"/>
    <cellStyle name="Başlık 1 17" xfId="586" xr:uid="{CC685508-60B1-4328-B4E4-5B6EF191DD64}"/>
    <cellStyle name="Başlık 1 18" xfId="587" xr:uid="{AED87C09-DC71-4D97-8A08-4C09F7C534BB}"/>
    <cellStyle name="Başlık 1 19" xfId="588" xr:uid="{69459AB1-E9F4-485D-B63E-B3D5DACF75F4}"/>
    <cellStyle name="Başlık 1 2" xfId="589" xr:uid="{77FC2D36-D074-4608-B54C-1EEB253DC416}"/>
    <cellStyle name="Başlık 1 20" xfId="590" xr:uid="{6270B322-6F3B-4385-A0B1-5479E2C22052}"/>
    <cellStyle name="Başlık 1 21" xfId="591" xr:uid="{50FD464E-6A3C-440D-A032-43619857246B}"/>
    <cellStyle name="Başlık 1 22" xfId="592" xr:uid="{2F2E5935-E12F-49C0-95CC-B9003AC2DDC2}"/>
    <cellStyle name="Başlık 1 23" xfId="593" xr:uid="{0A6C4F9D-B004-4436-8666-999B5F8301DD}"/>
    <cellStyle name="Başlık 1 24" xfId="594" xr:uid="{209D143D-7605-499C-97E0-7D2AD6C5E59F}"/>
    <cellStyle name="Başlık 1 25" xfId="595" xr:uid="{374E0D32-89C3-4664-84CD-5B7129B0BBB6}"/>
    <cellStyle name="Başlık 1 3" xfId="596" xr:uid="{70D06B6D-19CA-44C4-9FE2-5105CC8BD5DB}"/>
    <cellStyle name="Başlık 1 4" xfId="597" xr:uid="{90F0A56A-21A4-464F-A813-AE20BA0092FD}"/>
    <cellStyle name="Başlık 1 5" xfId="598" xr:uid="{B3E331E8-8A05-447A-9BE5-1A64E22ECC46}"/>
    <cellStyle name="Başlık 1 6" xfId="599" xr:uid="{118F9252-51E1-43CB-AA2E-81D3E5EED9D2}"/>
    <cellStyle name="Başlık 1 7" xfId="600" xr:uid="{677D88B5-6772-47A5-8640-69C475C9EBFB}"/>
    <cellStyle name="Başlık 1 8" xfId="601" xr:uid="{F6FB5FA9-B5A0-46A7-9763-2DA8DB3D9657}"/>
    <cellStyle name="Başlık 1 9" xfId="602" xr:uid="{2A366CBA-C45C-4B36-9292-3E277F40F16E}"/>
    <cellStyle name="Başlık 2 10" xfId="603" xr:uid="{4CA8FAC9-AED4-40CB-A628-9203F3197410}"/>
    <cellStyle name="Başlık 2 11" xfId="604" xr:uid="{6BD597A1-F436-492C-804A-E24D98791A58}"/>
    <cellStyle name="Başlık 2 12" xfId="605" xr:uid="{772D8CDA-C566-4491-B262-8E26807E2740}"/>
    <cellStyle name="Başlık 2 13" xfId="606" xr:uid="{AB5E5280-444B-434B-B67C-E2A403E98C1E}"/>
    <cellStyle name="Başlık 2 14" xfId="607" xr:uid="{3D177C47-7095-4FB5-8E98-75C5CD764B4E}"/>
    <cellStyle name="Başlık 2 15" xfId="608" xr:uid="{5F8BEBF2-4275-4877-ABCB-B9116DB9C315}"/>
    <cellStyle name="Başlık 2 16" xfId="609" xr:uid="{27EE0B4D-A76A-469B-812C-8A6043841E0B}"/>
    <cellStyle name="Başlık 2 17" xfId="610" xr:uid="{020B7E9F-6919-49AB-9DD2-7F3B08180F4D}"/>
    <cellStyle name="Başlık 2 18" xfId="611" xr:uid="{EB880331-3208-4D74-B637-33CE6D2BDD0D}"/>
    <cellStyle name="Başlık 2 19" xfId="612" xr:uid="{D096B6A3-1913-46B7-96BD-9D3DB027949A}"/>
    <cellStyle name="Başlık 2 2" xfId="613" xr:uid="{309B57E7-806A-4C6C-BA86-5FEE08DDB21F}"/>
    <cellStyle name="Başlık 2 20" xfId="614" xr:uid="{49154617-CF4E-4EF6-A19E-AF189D9F561E}"/>
    <cellStyle name="Başlık 2 21" xfId="615" xr:uid="{9DF6A0C1-AC71-4D00-9CAD-5901EF05897D}"/>
    <cellStyle name="Başlık 2 22" xfId="616" xr:uid="{D0B2E334-7A26-4616-856D-13F92A475CB2}"/>
    <cellStyle name="Başlık 2 23" xfId="617" xr:uid="{08857FC7-956B-43CC-B546-4A33ACFB590B}"/>
    <cellStyle name="Başlık 2 24" xfId="618" xr:uid="{0C2EB66B-10F6-41D7-A7A3-608100C2F02C}"/>
    <cellStyle name="Başlık 2 25" xfId="619" xr:uid="{E65781D6-F46F-4EBD-B90A-D5A3A368332F}"/>
    <cellStyle name="Başlık 2 3" xfId="620" xr:uid="{F69C01F3-ACA3-40B6-9126-D9D13CE0D8B7}"/>
    <cellStyle name="Başlık 2 4" xfId="621" xr:uid="{3AC44A81-3C80-4A65-BEB5-ADF9F6F5D2D7}"/>
    <cellStyle name="Başlık 2 5" xfId="622" xr:uid="{C366BB3F-960F-4D2F-AA9A-9C8BCF1F1F9C}"/>
    <cellStyle name="Başlık 2 6" xfId="623" xr:uid="{B01B74D5-B278-4001-B48C-9BA239E7E71D}"/>
    <cellStyle name="Başlık 2 7" xfId="624" xr:uid="{8B7CEB09-EA31-49B5-89F3-8E500AE26610}"/>
    <cellStyle name="Başlık 2 8" xfId="625" xr:uid="{8D5A4E35-9BAD-4B1E-A4B0-D007298C67F0}"/>
    <cellStyle name="Başlık 2 9" xfId="626" xr:uid="{995A780F-3883-4AFC-86CE-DCF4B31192DD}"/>
    <cellStyle name="Başlık 3 10" xfId="627" xr:uid="{E6D08A54-0F73-4504-A6D1-045DDE8C860D}"/>
    <cellStyle name="Başlık 3 11" xfId="628" xr:uid="{B2017B56-B698-462E-87DB-53BCF9630860}"/>
    <cellStyle name="Başlık 3 12" xfId="629" xr:uid="{12DB6D39-8A73-42A1-A21A-627EB5EE5B75}"/>
    <cellStyle name="Başlık 3 13" xfId="630" xr:uid="{58573EBC-5EBE-471A-93C3-26D6035153EF}"/>
    <cellStyle name="Başlık 3 14" xfId="631" xr:uid="{E9B8924E-DA33-4CD3-A247-CE4D888ABF2A}"/>
    <cellStyle name="Başlık 3 15" xfId="632" xr:uid="{F2BDBD2E-FB8E-4C37-BDCC-7A61103EADC3}"/>
    <cellStyle name="Başlık 3 16" xfId="633" xr:uid="{35368EE1-0CEA-4910-B315-8D2EA35EC856}"/>
    <cellStyle name="Başlık 3 17" xfId="634" xr:uid="{1867CC2D-D16A-4E94-A5A7-5571FD8F44CA}"/>
    <cellStyle name="Başlık 3 18" xfId="635" xr:uid="{9A602789-34C9-4E17-983A-F046E1AF4A9E}"/>
    <cellStyle name="Başlık 3 19" xfId="636" xr:uid="{B8631FF7-57CE-4CC1-9125-9A39E8B5F30D}"/>
    <cellStyle name="Başlık 3 2" xfId="637" xr:uid="{AEEC2875-D06D-4FAE-80EE-8844133EC02B}"/>
    <cellStyle name="Başlık 3 20" xfId="638" xr:uid="{66F6207F-F237-477E-8967-DFF811A8C5EF}"/>
    <cellStyle name="Başlık 3 21" xfId="639" xr:uid="{6CE3B546-7A31-4DCC-92C1-EF2787A01DB5}"/>
    <cellStyle name="Başlık 3 22" xfId="640" xr:uid="{18BFB4F1-51D4-43A2-966B-E0FA10524176}"/>
    <cellStyle name="Başlık 3 23" xfId="641" xr:uid="{075DE571-850C-4B8B-A4A1-4840FBEEF1AA}"/>
    <cellStyle name="Başlık 3 24" xfId="642" xr:uid="{91865E21-3E98-4284-9FCC-34B182AE5BFB}"/>
    <cellStyle name="Başlık 3 25" xfId="643" xr:uid="{829B504A-16E0-409D-A82B-1A11F7191370}"/>
    <cellStyle name="Başlık 3 3" xfId="644" xr:uid="{40049E62-7D38-4E87-B1F1-8645E546F601}"/>
    <cellStyle name="Başlık 3 4" xfId="645" xr:uid="{93051ECB-A117-4A08-9EDD-CF31FA21DDC5}"/>
    <cellStyle name="Başlık 3 5" xfId="646" xr:uid="{B172811A-4AC2-429C-B6B1-37204F8F3174}"/>
    <cellStyle name="Başlık 3 6" xfId="647" xr:uid="{A103BCEB-3855-42F4-AAED-16FE83B9DAD4}"/>
    <cellStyle name="Başlık 3 7" xfId="648" xr:uid="{1284640A-8321-4CF3-9CA7-CD371BC1D67E}"/>
    <cellStyle name="Başlık 3 8" xfId="649" xr:uid="{BDF16149-7FAD-400F-A618-F1C59746BF33}"/>
    <cellStyle name="Başlık 3 9" xfId="650" xr:uid="{E61C2B16-9036-4FF2-9E75-847B24A8DA4A}"/>
    <cellStyle name="Başlık 4 10" xfId="651" xr:uid="{CD49429D-1373-4F03-8C6C-9734C54E2B2A}"/>
    <cellStyle name="Başlık 4 11" xfId="652" xr:uid="{3C1A75A6-3391-43A3-A714-39AF3BF14B0E}"/>
    <cellStyle name="Başlık 4 12" xfId="653" xr:uid="{5F2AD5D1-93E5-4A63-9BFA-5B25F124CB3D}"/>
    <cellStyle name="Başlık 4 13" xfId="654" xr:uid="{DB12DB0C-5766-4E7C-8F53-C51B6AFA9118}"/>
    <cellStyle name="Başlık 4 14" xfId="655" xr:uid="{F21D1AE4-642D-445C-943A-0922BDA74790}"/>
    <cellStyle name="Başlık 4 15" xfId="656" xr:uid="{1065AE18-9D09-4A97-A430-A853F0C3FA0D}"/>
    <cellStyle name="Başlık 4 16" xfId="657" xr:uid="{79105CC8-F4A7-4334-8E3A-EBB386384084}"/>
    <cellStyle name="Başlık 4 17" xfId="658" xr:uid="{CDC14228-316D-4058-9AA5-3F8E3CCC2C7D}"/>
    <cellStyle name="Başlık 4 18" xfId="659" xr:uid="{FCDB9945-1BD9-4613-9C41-CF832DC90115}"/>
    <cellStyle name="Başlık 4 19" xfId="660" xr:uid="{DDA32236-4F2F-466E-B50C-227FBD1FF250}"/>
    <cellStyle name="Başlık 4 2" xfId="661" xr:uid="{059DC6D3-6E6F-4E9A-9CF4-D4BEBE34D8DF}"/>
    <cellStyle name="Başlık 4 20" xfId="662" xr:uid="{93DC5133-ED0D-4BE1-92D7-267F6EB2BC52}"/>
    <cellStyle name="Başlık 4 21" xfId="663" xr:uid="{39AD2CAE-AEBE-48FC-B74F-169194A1FAAB}"/>
    <cellStyle name="Başlık 4 22" xfId="664" xr:uid="{C62D3B47-ADCB-499A-B605-5C8CF076B7E7}"/>
    <cellStyle name="Başlık 4 23" xfId="665" xr:uid="{752E693D-FBDD-44CA-BEC6-784D713948CF}"/>
    <cellStyle name="Başlık 4 24" xfId="666" xr:uid="{156A9AE9-CCBE-4E6C-A6B8-85EB1C65E922}"/>
    <cellStyle name="Başlık 4 25" xfId="667" xr:uid="{B14A003C-E923-44C4-BD4D-A24ED359F5C9}"/>
    <cellStyle name="Başlık 4 3" xfId="668" xr:uid="{4471DF6E-3879-4944-A54F-55561CB99749}"/>
    <cellStyle name="Başlık 4 4" xfId="669" xr:uid="{6EA58D28-3C7F-41F1-B1A2-579D063624DD}"/>
    <cellStyle name="Başlık 4 5" xfId="670" xr:uid="{1A67643E-D300-4494-9F17-7B131B14CF0D}"/>
    <cellStyle name="Başlık 4 6" xfId="671" xr:uid="{7ECFA541-AC48-4600-9707-28AB039A699E}"/>
    <cellStyle name="Başlık 4 7" xfId="672" xr:uid="{76ECDCFE-BF7D-4A49-9230-CD7CE5F4DA8E}"/>
    <cellStyle name="Başlık 4 8" xfId="673" xr:uid="{2F05A38E-8499-428A-9609-46D4241228BC}"/>
    <cellStyle name="Başlık 4 9" xfId="674" xr:uid="{56A9FDE5-997F-4847-BCE3-51D9F2D578D1}"/>
    <cellStyle name="Binlik Ayracı 2" xfId="675" xr:uid="{6375EACD-7362-4876-AED8-BC84964EC3E3}"/>
    <cellStyle name="Binlik Ayracı 2 3" xfId="676" xr:uid="{FB7E6891-C644-4228-B2A6-2CFCAA1452B3}"/>
    <cellStyle name="Binlik Ayracı 3" xfId="677" xr:uid="{99E23874-4BB7-49F7-8433-87C77E2C2BD3}"/>
    <cellStyle name="Binlik Ayracı 4" xfId="678" xr:uid="{EA30BEC1-45CA-444A-B9B3-417D5D5D04A0}"/>
    <cellStyle name="Binlik Ayracı 5" xfId="679" xr:uid="{FABC871F-E68C-4F72-B45C-CAFD99F6EADE}"/>
    <cellStyle name="Binlik Ayracı 6" xfId="680" xr:uid="{FC53E860-E222-460F-9338-B6B42348DBCF}"/>
    <cellStyle name="Binlik Ayracý [0]" xfId="681" xr:uid="{BBD3E46A-1BB1-4033-A637-810B87D4C2C6}"/>
    <cellStyle name="BODY" xfId="682" xr:uid="{57D16DD0-4569-49E7-A737-3887E9844F8E}"/>
    <cellStyle name="Border" xfId="683" xr:uid="{6FE15823-F2BF-434A-A867-449DCABE9159}"/>
    <cellStyle name="Calc Currency (0)" xfId="684" xr:uid="{83DD6EB4-6ECE-4908-AB88-F9BCA6D95B54}"/>
    <cellStyle name="Calc Currency (2)" xfId="685" xr:uid="{C4E121D2-F26E-423C-AA59-6FDB3C8A5C45}"/>
    <cellStyle name="Calc Percent (0)" xfId="686" xr:uid="{0043185F-9FBE-495D-8235-1AD4F92053DF}"/>
    <cellStyle name="Calc Percent (1)" xfId="687" xr:uid="{21510AE0-DFDB-4AC1-B4D2-ECEACC0F77B2}"/>
    <cellStyle name="Calc Percent (2)" xfId="688" xr:uid="{B8595F82-D8F5-4B1F-9507-669FE14757F1}"/>
    <cellStyle name="Calc Units (0)" xfId="689" xr:uid="{FEBEB802-D63A-4119-82F0-D2787D3B02B3}"/>
    <cellStyle name="Calc Units (1)" xfId="690" xr:uid="{B39D9733-1C04-4AE3-A548-C8E428117A4B}"/>
    <cellStyle name="Calc Units (2)" xfId="691" xr:uid="{DE1F7A31-F285-487F-B44F-0E7697B3C826}"/>
    <cellStyle name="Calcul" xfId="692" xr:uid="{18165135-40B1-449E-BDE6-A1B9D0569F30}"/>
    <cellStyle name="Calculation" xfId="693" xr:uid="{2EBAC733-99EC-40E9-9CA5-56DA71B3A1F1}"/>
    <cellStyle name="čárky_BOQ-mech" xfId="694" xr:uid="{2593E87C-6CC0-4714-8F71-43A058EB9F0B}"/>
    <cellStyle name="category" xfId="695" xr:uid="{889E9C8B-034A-413E-9692-B57893841F0F}"/>
    <cellStyle name="Cellule liée" xfId="696" xr:uid="{8CAE3A1A-55DD-4C31-BD51-4BEC361A06E8}"/>
    <cellStyle name="Check Cell" xfId="697" xr:uid="{33AE1E29-6B8D-487F-B9E9-7F0959E1C2F6}"/>
    <cellStyle name="Codice" xfId="698" xr:uid="{4560FBF8-51BF-497C-9E17-C3AEF65789D4}"/>
    <cellStyle name="Comma  - Style1" xfId="699" xr:uid="{9542569F-7513-499C-9FCB-A5C7E53080D1}"/>
    <cellStyle name="Comma  - Style2" xfId="700" xr:uid="{019ED377-7220-491F-AF3C-337AAA15ED87}"/>
    <cellStyle name="Comma  - Style3" xfId="701" xr:uid="{87F4E6DA-5D24-44A3-9C10-135ED9F9171C}"/>
    <cellStyle name="Comma  - Style4" xfId="702" xr:uid="{6EB71CA3-54FD-47B2-9A18-82C93E62755A}"/>
    <cellStyle name="Comma  - Style5" xfId="703" xr:uid="{3371C138-6858-4E3A-9C6F-86345810C1C7}"/>
    <cellStyle name="Comma  - Style6" xfId="704" xr:uid="{62C402F0-06DC-4D1C-A404-7F23E3250810}"/>
    <cellStyle name="Comma  - Style7" xfId="705" xr:uid="{AC6C13A1-DF09-4689-94CF-6F1461ACD81A}"/>
    <cellStyle name="Comma  - Style8" xfId="706" xr:uid="{35E64C6A-3595-41AB-B92E-E2599EBDDE8A}"/>
    <cellStyle name="Comma [0]" xfId="707" xr:uid="{C467EEEA-3A9A-44E8-9F57-AE2AC9734345}"/>
    <cellStyle name="Comma [0] 2" xfId="708" xr:uid="{16061F3C-63D9-441A-BD8E-55D79651BDE1}"/>
    <cellStyle name="Comma [00]" xfId="709" xr:uid="{A7FCDA10-7EC1-45BB-A442-56B634AE017C}"/>
    <cellStyle name="Comma [00] 2" xfId="710" xr:uid="{09697C41-0924-4137-B735-398EA8902F79}"/>
    <cellStyle name="Comma 2" xfId="711" xr:uid="{F257B957-6A36-41D2-9613-7334D3C83983}"/>
    <cellStyle name="Comma_# 102 - Malaz" xfId="712" xr:uid="{CACDD2F4-762D-4DE7-AE89-376CA550909E}"/>
    <cellStyle name="Comma0" xfId="713" xr:uid="{95F80566-D741-4AA7-A7DA-6B8BA830E585}"/>
    <cellStyle name="Comma0 2" xfId="714" xr:uid="{D9ECEC58-29AD-4F07-8634-8A791C869A2C}"/>
    <cellStyle name="Commentaire" xfId="715" xr:uid="{88786B34-14A1-4BBB-A8DE-BAEA28C01243}"/>
    <cellStyle name="Currency [0]" xfId="716" xr:uid="{116BB26B-4F61-4FE1-8BB4-9E9A126189B6}"/>
    <cellStyle name="Currency [0] 2" xfId="717" xr:uid="{4C5E3605-93E5-4665-B819-EADFC7FFB60C}"/>
    <cellStyle name="Currency [00]" xfId="718" xr:uid="{1FB64FC6-3AAA-415C-B925-BD472D8B65AE}"/>
    <cellStyle name="Currency [00] 2" xfId="719" xr:uid="{6D027904-FD9D-4262-B692-56ECBEA14DE9}"/>
    <cellStyle name="Currency_# 102 - Malaz" xfId="720" xr:uid="{F972CBCB-70E5-49A7-9A73-F334A94D7EA3}"/>
    <cellStyle name="Currency0" xfId="721" xr:uid="{85D3BF68-A8E8-4733-A4B1-0CB02E68D6C8}"/>
    <cellStyle name="Currency0 2" xfId="722" xr:uid="{7308FEB7-7AAD-4C07-89EC-E68B94A1BFF6}"/>
    <cellStyle name="Çıkış 10" xfId="723" xr:uid="{1B5CC04B-B558-4CAF-8F02-C26FA88F62CE}"/>
    <cellStyle name="Çıkış 11" xfId="724" xr:uid="{29D3C1D3-583D-43EE-86C7-BA81DE5A68D4}"/>
    <cellStyle name="Çıkış 12" xfId="725" xr:uid="{306D3C31-6BAD-4D83-8699-08F68C0BEBDD}"/>
    <cellStyle name="Çıkış 13" xfId="726" xr:uid="{2A54FB87-6F4B-40E1-A23B-9EAC00B00C0B}"/>
    <cellStyle name="Çıkış 14" xfId="727" xr:uid="{044649D0-D591-4298-8038-E965AAC2FA6B}"/>
    <cellStyle name="Çıkış 15" xfId="728" xr:uid="{43A042BC-F12B-43E5-BA4B-2CA0BE278422}"/>
    <cellStyle name="Çıkış 16" xfId="729" xr:uid="{C98E2806-D49F-49F2-BFAD-547EE3671330}"/>
    <cellStyle name="Çıkış 17" xfId="730" xr:uid="{FC2B5B14-0EC7-4207-9FD9-BD0584C8930E}"/>
    <cellStyle name="Çıkış 18" xfId="731" xr:uid="{C57F2DF7-73C5-4E5B-9220-F7B4DC444E97}"/>
    <cellStyle name="Çıkış 19" xfId="732" xr:uid="{6F7EB33B-73A5-42D9-9DC7-AADF00B885B5}"/>
    <cellStyle name="Çıkış 2" xfId="733" xr:uid="{CECDCD39-7BCB-4043-8710-ABFB35E4FCDE}"/>
    <cellStyle name="Çıkış 20" xfId="734" xr:uid="{234355D7-CCD4-4B55-9F6F-2E5F26FDA185}"/>
    <cellStyle name="Çıkış 21" xfId="735" xr:uid="{E51DA8EB-0A07-46B7-A9E4-27C5AA918F92}"/>
    <cellStyle name="Çıkış 22" xfId="736" xr:uid="{5969CA9F-8209-475C-9530-081E58B4E06B}"/>
    <cellStyle name="Çıkış 23" xfId="737" xr:uid="{7A093045-5FEB-401A-9346-BAC313D6FEB1}"/>
    <cellStyle name="Çıkış 24" xfId="738" xr:uid="{55F97B8C-514E-4F68-B79F-E376097D4588}"/>
    <cellStyle name="Çıkış 25" xfId="739" xr:uid="{F6486CDA-1341-41F4-BC87-AB014374D6AF}"/>
    <cellStyle name="Çıkış 3" xfId="740" xr:uid="{D520AC4D-F225-456B-8A0E-0D5E10F7FD7A}"/>
    <cellStyle name="Çıkış 4" xfId="741" xr:uid="{734E9C4A-33B3-47DF-B752-835C35961439}"/>
    <cellStyle name="Çıkış 5" xfId="742" xr:uid="{040CD09D-64F8-45B0-95D6-DDD86BA52800}"/>
    <cellStyle name="Çıkış 6" xfId="743" xr:uid="{8262EBE9-9276-49BF-A08E-B018630F356D}"/>
    <cellStyle name="Çıkış 7" xfId="744" xr:uid="{AD43DB07-8FC0-4EF1-A3BA-7CEE443A8E7C}"/>
    <cellStyle name="Çıkış 8" xfId="745" xr:uid="{644664D9-7D8D-4F5B-BB04-D3E3ADD0818A}"/>
    <cellStyle name="Çıkış 9" xfId="746" xr:uid="{D550C5F6-1970-4D37-8452-DD5081DB7309}"/>
    <cellStyle name="Date" xfId="747" xr:uid="{F6F60A3A-0A63-478D-9FF4-05D8BB017A79}"/>
    <cellStyle name="Date 2" xfId="748" xr:uid="{B32FD68E-D4FF-4A68-8045-1449DF16E2BC}"/>
    <cellStyle name="Date Short" xfId="749" xr:uid="{53B8B2F5-7423-4E3D-BE95-E4DB0460CEA6}"/>
    <cellStyle name="Date_ASANSÖR hakediş" xfId="750" xr:uid="{8D3BE5BD-3E72-48BB-871E-5CDFCA77DD09}"/>
    <cellStyle name="DELTA" xfId="751" xr:uid="{DE40752E-CBD5-4326-BAFC-3B4287499FD0}"/>
    <cellStyle name="Dezimal [0]_Compiling Utility Macros" xfId="752" xr:uid="{7243F6F9-BC65-4220-8240-F7B967F1DA48}"/>
    <cellStyle name="Dezimal_Compiling Utility Macros" xfId="753" xr:uid="{9E405B49-3E3A-4F5F-BEC0-AA44F6A459DA}"/>
    <cellStyle name="Enter Currency (0)" xfId="754" xr:uid="{5F968792-F52D-4364-8464-DF94ACD7A6CF}"/>
    <cellStyle name="Enter Currency (2)" xfId="755" xr:uid="{7A885525-3710-4D10-BFAF-26A5B2AE6F4D}"/>
    <cellStyle name="Enter Units (0)" xfId="756" xr:uid="{CFCFECD4-7D53-4FD8-B547-C8E2D19D8A48}"/>
    <cellStyle name="Enter Units (1)" xfId="757" xr:uid="{5AA491B5-11F5-4FE1-9B8C-9F17C7B549BC}"/>
    <cellStyle name="Enter Units (2)" xfId="758" xr:uid="{E9832AAC-A709-4820-8DAF-F13F1127E0F2}"/>
    <cellStyle name="Entrée" xfId="759" xr:uid="{541329C3-3B25-4C56-AEF9-40FE1D290E2A}"/>
    <cellStyle name="entry" xfId="760" xr:uid="{11D3E2E1-D266-470E-B36B-2E10E72F2D4A}"/>
    <cellStyle name="entry box 2 5 12" xfId="761" xr:uid="{B08D19B9-3F31-4217-A335-81C6B57B1F13}"/>
    <cellStyle name="Euro" xfId="762" xr:uid="{BE966F94-F1CF-45D3-8609-A1C084118865}"/>
    <cellStyle name="Excel Built-in Normal" xfId="763" xr:uid="{9BE9E642-6AC6-444C-9A15-3469B2BB36F7}"/>
    <cellStyle name="Excel_BuiltIn_Vurgu3 1" xfId="764" xr:uid="{6B220443-4C73-471D-94DE-6C7CFC38105F}"/>
    <cellStyle name="Explanatory Text" xfId="765" xr:uid="{CC7DBD49-49B5-4A55-913C-561EDE438D69}"/>
    <cellStyle name="F2" xfId="766" xr:uid="{FC4DEC44-EC1E-45C6-81E7-9F259A16C5BC}"/>
    <cellStyle name="F3" xfId="767" xr:uid="{45C0C840-1BC0-421F-9D53-08DC1D325ADB}"/>
    <cellStyle name="F4" xfId="768" xr:uid="{930C9515-58EB-415D-9080-BD647E83D720}"/>
    <cellStyle name="F5" xfId="769" xr:uid="{830321A9-3399-4703-B702-97E5E1B88B79}"/>
    <cellStyle name="F6" xfId="770" xr:uid="{1C92F336-E9AF-496D-8E94-F8340DFCEF43}"/>
    <cellStyle name="F7" xfId="771" xr:uid="{C9B64049-32F1-472E-BEA8-71781C9A4E5A}"/>
    <cellStyle name="F8" xfId="772" xr:uid="{2BE05C73-E5C2-417E-930E-A281EF15F736}"/>
    <cellStyle name="Family_Option" xfId="773" xr:uid="{1AE9755A-0A4D-4BF0-86E1-08D27BC9E329}"/>
    <cellStyle name="FIYAT" xfId="774" xr:uid="{F46A17BD-909A-4ABE-99D4-7845B28F7932}"/>
    <cellStyle name="Fixed" xfId="775" xr:uid="{AF3F0967-6721-4401-99AF-44F35CFD9ED0}"/>
    <cellStyle name="Fixed 2" xfId="776" xr:uid="{2B500D5E-3554-4D4A-B09A-54CCBE86C69D}"/>
    <cellStyle name="Flag" xfId="777" xr:uid="{2C8E2FAB-A911-4DEB-BEF9-B718E7B9A6B1}"/>
    <cellStyle name="Followed Hyperlink" xfId="778" xr:uid="{3BF642B8-1661-4275-BD3D-077BA8150C57}"/>
    <cellStyle name="Giriş 10" xfId="779" xr:uid="{B80D2087-0C29-4047-9145-856353929EB5}"/>
    <cellStyle name="Giriş 11" xfId="780" xr:uid="{BC592AA9-8BDB-4705-B693-F32A3AEFDF08}"/>
    <cellStyle name="Giriş 12" xfId="781" xr:uid="{12DF53D8-A64D-472B-874B-8EC5E3794BB4}"/>
    <cellStyle name="Giriş 13" xfId="782" xr:uid="{12D898BD-3A5C-4CA0-A0A5-73324C699A66}"/>
    <cellStyle name="Giriş 14" xfId="783" xr:uid="{43F22E5A-6FF5-47B0-89C8-1CD545439ECF}"/>
    <cellStyle name="Giriş 15" xfId="784" xr:uid="{3E6C4BDA-B785-4B11-8156-62C8CA450AE0}"/>
    <cellStyle name="Giriş 16" xfId="785" xr:uid="{564CB25A-320A-4738-90FB-489318BB4CC8}"/>
    <cellStyle name="Giriş 17" xfId="786" xr:uid="{18531654-5537-4ADF-BF5A-E4B7E418AB75}"/>
    <cellStyle name="Giriş 18" xfId="787" xr:uid="{CD5FBE2A-14AD-4A91-9DBF-AF83F56455BD}"/>
    <cellStyle name="Giriş 19" xfId="788" xr:uid="{035966CA-3843-4D9A-A140-14A0061056E9}"/>
    <cellStyle name="Giriş 2" xfId="789" xr:uid="{6728050C-E0D3-43A9-8A4A-ACCFFF490195}"/>
    <cellStyle name="Giriş 20" xfId="790" xr:uid="{28A7939F-2B42-4CCF-A878-B9A6BA5ED3D1}"/>
    <cellStyle name="Giriş 21" xfId="791" xr:uid="{76534652-8DB2-4320-86CD-B80DC560315B}"/>
    <cellStyle name="Giriş 22" xfId="792" xr:uid="{4DDC6F51-2FDF-4DD9-BE8C-3B94CD56B106}"/>
    <cellStyle name="Giriş 23" xfId="793" xr:uid="{858F52CE-46E4-45C3-B275-37702990B276}"/>
    <cellStyle name="Giriş 24" xfId="794" xr:uid="{BF43E974-C6D7-40C4-9051-A8E272702226}"/>
    <cellStyle name="Giriş 25" xfId="795" xr:uid="{0FC3B257-4E87-4288-AFA1-4C2ACE4DE0E0}"/>
    <cellStyle name="Giriş 3" xfId="796" xr:uid="{CD92E79B-E1F5-44B5-8552-28C37F821ADA}"/>
    <cellStyle name="Giriş 4" xfId="797" xr:uid="{505FBB83-C1D8-4ADB-856D-64BF5EEAF1EE}"/>
    <cellStyle name="Giriş 5" xfId="798" xr:uid="{5D902FF9-3DA0-4879-BB60-EBC2E0C2D51C}"/>
    <cellStyle name="Giriş 6" xfId="799" xr:uid="{542A54F7-9A53-4E6F-A9E9-800DDC5D3911}"/>
    <cellStyle name="Giriş 7" xfId="800" xr:uid="{A68C0A98-A935-4531-A575-6F50433FDA94}"/>
    <cellStyle name="Giriş 8" xfId="801" xr:uid="{A18C77DB-DA23-4D44-8C2D-8B64CDAED2E0}"/>
    <cellStyle name="Giriş 9" xfId="802" xr:uid="{640C8916-4D52-4CFA-811C-4FDD309DB10F}"/>
    <cellStyle name="Good" xfId="803" xr:uid="{1B4F9F58-4591-4A42-8327-8CE4C9C614AD}"/>
    <cellStyle name="Grey" xfId="804" xr:uid="{99DBCB79-102A-415A-B832-7214580E78EC}"/>
    <cellStyle name="Grey 2" xfId="805" xr:uid="{ECE3F053-72BA-4854-92AC-6ACE23238FF1}"/>
    <cellStyle name="GRUP" xfId="806" xr:uid="{AFDC15F1-2591-4DAB-8931-333C6D5939CD}"/>
    <cellStyle name="HEADER" xfId="807" xr:uid="{9DA9FC23-F12A-4370-B9D8-A513C5F1F168}"/>
    <cellStyle name="HEADER 2" xfId="808" xr:uid="{5E30A7BB-8CE9-4BD1-9E4D-52F2FDC5ED73}"/>
    <cellStyle name="Header1" xfId="809" xr:uid="{1AAB3030-F658-43E6-B720-33D25978F4D9}"/>
    <cellStyle name="Header2" xfId="810" xr:uid="{6A6D1C3A-3D5E-456A-81DA-078510562C5B}"/>
    <cellStyle name="Heading 1" xfId="811" xr:uid="{BBDD2208-0723-4E9C-8B0A-176B74237A28}"/>
    <cellStyle name="Heading 1 2" xfId="812" xr:uid="{A48488EF-7DF4-4CC4-97E5-DDDBAB1060D2}"/>
    <cellStyle name="Heading 1 3" xfId="813" xr:uid="{F8188EFD-F0B7-4C9C-8814-9C2169D1F1EE}"/>
    <cellStyle name="Heading 1 4" xfId="814" xr:uid="{8AF25B9B-E97B-4984-9991-4C20C4D3FDDE}"/>
    <cellStyle name="Heading 1 5" xfId="815" xr:uid="{88FF8F72-7213-46B9-A82D-65E68F558241}"/>
    <cellStyle name="Heading 2" xfId="816" xr:uid="{1B1C0D4B-B8E7-41D7-8BD4-233C1F4BDD6F}"/>
    <cellStyle name="Heading 2 2" xfId="817" xr:uid="{5F06B48E-E438-4353-945D-00659BC1CE64}"/>
    <cellStyle name="Heading 2 3" xfId="818" xr:uid="{D05FCB6D-1076-4D6F-95B5-E95F83BF70B3}"/>
    <cellStyle name="Heading 2 4" xfId="819" xr:uid="{197E13A8-48AE-4C0B-B1EF-152A2E267190}"/>
    <cellStyle name="Heading 2 5" xfId="820" xr:uid="{BC207A61-AE0C-4967-AF3D-EA987E6A847B}"/>
    <cellStyle name="Heading 3" xfId="821" xr:uid="{20C63378-6E58-45C4-9B15-2E14971151D2}"/>
    <cellStyle name="Heading 4" xfId="822" xr:uid="{7267B7CD-651F-4668-9F68-B17F453A1C99}"/>
    <cellStyle name="Heading1" xfId="823" xr:uid="{45C65513-FF02-4AB3-906F-BA9778C317D2}"/>
    <cellStyle name="Heading1 2" xfId="824" xr:uid="{DFD46582-B0A5-4468-8676-A89A42157208}"/>
    <cellStyle name="Heading2" xfId="825" xr:uid="{03FBA612-22A6-467F-A354-04749C8D63F9}"/>
    <cellStyle name="Heading2 2" xfId="826" xr:uid="{33106727-E197-4A4F-B5E8-29FB5C13D0FF}"/>
    <cellStyle name="Heading3" xfId="827" xr:uid="{F98D68DC-BEA8-47EB-AF4C-013D40DED801}"/>
    <cellStyle name="Heading4" xfId="828" xr:uid="{5186D36F-DC67-467F-A430-C9094BFDCA05}"/>
    <cellStyle name="Heading5" xfId="829" xr:uid="{1FA5DF09-D616-4270-B161-CC5954EA8145}"/>
    <cellStyle name="Heading6" xfId="830" xr:uid="{1484CF00-E04A-4767-8710-34DA696B1D3E}"/>
    <cellStyle name="Headline II" xfId="831" xr:uid="{5373F643-9D75-4E4C-8967-4E1720A6E716}"/>
    <cellStyle name="Headline III" xfId="832" xr:uid="{3CDC11D6-D7A5-4A4E-9763-84ECB84F1809}"/>
    <cellStyle name="Helv 9 ctr wrap" xfId="833" xr:uid="{B1DA6746-5F80-4BD8-829A-2CB51C2D261D}"/>
    <cellStyle name="Helv 9 lft wrap" xfId="834" xr:uid="{B3220117-B547-4826-8536-E5D5E979E7B5}"/>
    <cellStyle name="Hesaplama 10" xfId="835" xr:uid="{7B24C1F2-7B1D-483A-A7F2-7BBF51059F44}"/>
    <cellStyle name="Hesaplama 11" xfId="836" xr:uid="{1D0CC461-FC71-4E1C-A5A9-6C09A67C71E5}"/>
    <cellStyle name="Hesaplama 12" xfId="837" xr:uid="{6CAEBD05-55C1-48A7-B02A-0EAB78DA0048}"/>
    <cellStyle name="Hesaplama 13" xfId="838" xr:uid="{95C5344C-505C-44AD-967D-E6D9202ACE3C}"/>
    <cellStyle name="Hesaplama 14" xfId="839" xr:uid="{C924C0CA-B38A-4B19-8293-AD9C08077D99}"/>
    <cellStyle name="Hesaplama 15" xfId="840" xr:uid="{33107CCC-B492-4F44-870C-5A5BF1CB51CA}"/>
    <cellStyle name="Hesaplama 16" xfId="841" xr:uid="{8234A192-8311-4F25-9B0F-B17931447B5D}"/>
    <cellStyle name="Hesaplama 17" xfId="842" xr:uid="{CC2CE63E-33B4-4B68-94AA-579011B3DD72}"/>
    <cellStyle name="Hesaplama 18" xfId="843" xr:uid="{08C505F0-3B75-457F-9ED0-5DE63FEBC9E2}"/>
    <cellStyle name="Hesaplama 19" xfId="844" xr:uid="{B4144848-6884-4D97-8FBF-F70488064E4B}"/>
    <cellStyle name="Hesaplama 2" xfId="845" xr:uid="{ADEC2F61-E15C-4108-B127-6DF9C001300F}"/>
    <cellStyle name="Hesaplama 20" xfId="846" xr:uid="{35A841AC-730A-4424-ABC1-AC7FD1BE1E7A}"/>
    <cellStyle name="Hesaplama 21" xfId="847" xr:uid="{41050C2F-5E36-4D65-B4DB-7C0F5AEAFA0A}"/>
    <cellStyle name="Hesaplama 22" xfId="848" xr:uid="{A1BAEF2B-95EC-422A-97EE-CA1FA6E25CE9}"/>
    <cellStyle name="Hesaplama 23" xfId="849" xr:uid="{BDC8E035-D4BE-4BD8-A575-6854E88608A4}"/>
    <cellStyle name="Hesaplama 24" xfId="850" xr:uid="{618B3C18-40A7-4EB4-8C42-93637685A45F}"/>
    <cellStyle name="Hesaplama 25" xfId="851" xr:uid="{B12671AF-C5D2-4069-917E-03FA96D580A7}"/>
    <cellStyle name="Hesaplama 3" xfId="852" xr:uid="{2C59067A-753D-431A-BD29-5921297EF6E4}"/>
    <cellStyle name="Hesaplama 4" xfId="853" xr:uid="{143BCF61-14FA-4444-84BA-4B5A1DD3522E}"/>
    <cellStyle name="Hesaplama 5" xfId="854" xr:uid="{F250F30E-A310-4314-B11D-3079EF03B090}"/>
    <cellStyle name="Hesaplama 6" xfId="855" xr:uid="{FAE53556-CC85-4C54-B9F0-E882324AC336}"/>
    <cellStyle name="Hesaplama 7" xfId="856" xr:uid="{F300F905-8A29-4BF7-8EF3-3C920AB3E9E4}"/>
    <cellStyle name="Hesaplama 8" xfId="857" xr:uid="{FFFB129A-811A-4FE8-A3CE-C4CFB96DADF3}"/>
    <cellStyle name="Hesaplama 9" xfId="858" xr:uid="{6A622539-AA2A-473A-B43E-96448150FFAC}"/>
    <cellStyle name="Horizontal" xfId="859" xr:uid="{7085D12A-753C-4B83-B7E8-92433783F6ED}"/>
    <cellStyle name="Hyperlink" xfId="860" xr:uid="{13DE9D75-18EB-43DA-9E6B-A6686E694FBA}"/>
    <cellStyle name="Hyperlink 2" xfId="861" xr:uid="{545A2520-A963-4B8F-8019-037834E11EAE}"/>
    <cellStyle name="Input" xfId="862" xr:uid="{C614F701-45F1-458D-B92E-3BE8AE31B88F}"/>
    <cellStyle name="Input [yellow]" xfId="863" xr:uid="{F8ACE075-9438-4C57-A59C-F6AB6C7B46CD}"/>
    <cellStyle name="Insatisfaisant" xfId="864" xr:uid="{48322A2D-C670-4D3A-9408-BEFB95DC539D}"/>
    <cellStyle name="İşaretli Hücre 10" xfId="865" xr:uid="{0672FB4B-64FF-467D-B2C9-D3D2662A26A5}"/>
    <cellStyle name="İşaretli Hücre 11" xfId="866" xr:uid="{5048A9DC-462E-41E9-9EB0-876B4CA52AA8}"/>
    <cellStyle name="İşaretli Hücre 12" xfId="867" xr:uid="{127B3813-038B-4007-A06A-677B39544A47}"/>
    <cellStyle name="İşaretli Hücre 13" xfId="868" xr:uid="{83596224-87B8-449A-A5DF-44B69FCD348A}"/>
    <cellStyle name="İşaretli Hücre 14" xfId="869" xr:uid="{2F658B9A-C777-441A-BB8C-8CE3B6BD1A64}"/>
    <cellStyle name="İşaretli Hücre 15" xfId="870" xr:uid="{942CBDB9-DEF7-47CA-81C3-F304CC6EB3CA}"/>
    <cellStyle name="İşaretli Hücre 16" xfId="871" xr:uid="{3DFC3263-60F5-4043-BA16-07658A60FBC3}"/>
    <cellStyle name="İşaretli Hücre 17" xfId="872" xr:uid="{0EDB4C20-4DA8-46A3-8248-33E05BA88E35}"/>
    <cellStyle name="İşaretli Hücre 18" xfId="873" xr:uid="{2EA6C4F4-E237-416F-A9FD-8ABEE6D53006}"/>
    <cellStyle name="İşaretli Hücre 19" xfId="874" xr:uid="{2EC2C36B-3716-422D-AB49-EEF49D74422B}"/>
    <cellStyle name="İşaretli Hücre 2" xfId="875" xr:uid="{61426DEF-D807-4710-B67D-90732B36872E}"/>
    <cellStyle name="İşaretli Hücre 20" xfId="876" xr:uid="{18729D7F-A50E-4400-B932-DD239783A442}"/>
    <cellStyle name="İşaretli Hücre 21" xfId="877" xr:uid="{AB1412C7-E7EA-4517-99EC-277183448B6E}"/>
    <cellStyle name="İşaretli Hücre 22" xfId="878" xr:uid="{58366233-5759-4609-9B2A-2982EE30D018}"/>
    <cellStyle name="İşaretli Hücre 23" xfId="879" xr:uid="{9A3F404C-F184-4194-BBE2-DB3A2E2BB31D}"/>
    <cellStyle name="İşaretli Hücre 24" xfId="880" xr:uid="{B7F4AED4-1F0B-4A75-8326-03C5CB88EF90}"/>
    <cellStyle name="İşaretli Hücre 25" xfId="881" xr:uid="{E3338C73-ED72-44C0-908F-A685112BF12E}"/>
    <cellStyle name="İşaretli Hücre 3" xfId="882" xr:uid="{838C4B9A-335F-4D79-B340-4B0F7A687CC1}"/>
    <cellStyle name="İşaretli Hücre 4" xfId="883" xr:uid="{143EC1B8-4447-4937-AE15-3111AEE5EB37}"/>
    <cellStyle name="İşaretli Hücre 5" xfId="884" xr:uid="{02424BDD-17BA-47ED-9824-D837F529AA80}"/>
    <cellStyle name="İşaretli Hücre 6" xfId="885" xr:uid="{05D64466-FF32-4C46-8091-248B325BFFAA}"/>
    <cellStyle name="İşaretli Hücre 7" xfId="886" xr:uid="{073DFE0D-5109-47E0-9B5C-FC87D7352029}"/>
    <cellStyle name="İşaretli Hücre 8" xfId="887" xr:uid="{B39D5AD5-2844-4A4A-907C-3161390C6E4D}"/>
    <cellStyle name="İşaretli Hücre 9" xfId="888" xr:uid="{1F1191CE-57C7-49AE-9506-10D5BCC3A831}"/>
    <cellStyle name="İyi 10" xfId="889" xr:uid="{8DEE3FCA-17E6-4D22-A29A-991C925A458C}"/>
    <cellStyle name="İyi 11" xfId="890" xr:uid="{7B86A848-C9B6-48AA-BBE8-CD7E579E298F}"/>
    <cellStyle name="İyi 12" xfId="891" xr:uid="{BE6076BC-0E07-4F05-8AB8-9F8C2674479C}"/>
    <cellStyle name="İyi 13" xfId="892" xr:uid="{1B9E46D8-2539-4270-9BB2-5D8D6A45D116}"/>
    <cellStyle name="İyi 14" xfId="893" xr:uid="{261500B7-81D9-413C-9638-29546F29AA35}"/>
    <cellStyle name="İyi 15" xfId="894" xr:uid="{2D6D6C63-B9E3-40CF-BF92-92805FC2C191}"/>
    <cellStyle name="İyi 16" xfId="895" xr:uid="{FD91415E-DBE4-4517-9262-341F41932A44}"/>
    <cellStyle name="İyi 17" xfId="896" xr:uid="{AD566FAF-06A0-464B-BA4A-4DB069565CD8}"/>
    <cellStyle name="İyi 18" xfId="897" xr:uid="{A857DBB4-1664-468A-86E9-EA9101BF1342}"/>
    <cellStyle name="İyi 19" xfId="898" xr:uid="{5DB320D4-FD3B-4173-A1F9-666F8DE8FAEA}"/>
    <cellStyle name="İyi 2" xfId="899" xr:uid="{D9772C19-F71C-4904-AA63-6E58DEF5D489}"/>
    <cellStyle name="İyi 20" xfId="900" xr:uid="{E54379A2-C550-4977-A09A-EB11C561F4BC}"/>
    <cellStyle name="İyi 21" xfId="901" xr:uid="{29D405DE-859D-457B-8EB6-C20646C3A838}"/>
    <cellStyle name="İyi 22" xfId="902" xr:uid="{CFFC86D8-F2EB-455D-A702-714929B9C142}"/>
    <cellStyle name="İyi 23" xfId="903" xr:uid="{1D14FC9C-E6EC-4EFC-83C2-60F138C591E2}"/>
    <cellStyle name="İyi 24" xfId="904" xr:uid="{3EC64EDD-CFE2-44BD-9F05-127D362AC2D6}"/>
    <cellStyle name="İyi 25" xfId="905" xr:uid="{9476B6E8-3A3C-4172-8DD0-46B634898918}"/>
    <cellStyle name="İyi 3" xfId="906" xr:uid="{DF44F753-F187-4375-A168-96DD8FEA8870}"/>
    <cellStyle name="İyi 4" xfId="907" xr:uid="{3CE5D39B-A6C1-44F0-AC41-8405D87CD814}"/>
    <cellStyle name="İyi 5" xfId="908" xr:uid="{37855DE5-DB98-46E1-80DB-6B5C570D39A2}"/>
    <cellStyle name="İyi 6" xfId="909" xr:uid="{5D4BD0C7-8E68-45FA-8A3D-8C9F832276B2}"/>
    <cellStyle name="İyi 7" xfId="910" xr:uid="{2DD57B3B-CD8A-419F-A47D-A4EE0A26EBB7}"/>
    <cellStyle name="İyi 8" xfId="911" xr:uid="{AB3A5E5D-D4F9-4905-8EE3-794030745E26}"/>
    <cellStyle name="İyi 9" xfId="912" xr:uid="{E836DC7D-8EF3-432C-BA73-DDDB97D86C60}"/>
    <cellStyle name="Köprü 2" xfId="913" xr:uid="{CD5FC240-AFB0-494F-8DBB-BD5898642A0C}"/>
    <cellStyle name="Köprü 2 2" xfId="914" xr:uid="{FEA57F8B-265D-4F08-9301-4AB3FDE25A4E}"/>
    <cellStyle name="Köprü 2 3" xfId="915" xr:uid="{199005B1-596C-4DA4-B793-67758B772FF2}"/>
    <cellStyle name="Kötü 10" xfId="916" xr:uid="{DF76FDAF-439F-4A6F-8ACD-CE0BA8AFB067}"/>
    <cellStyle name="Kötü 11" xfId="917" xr:uid="{F6F3EBDC-3C0C-4139-924E-3A655DABDEB9}"/>
    <cellStyle name="Kötü 12" xfId="918" xr:uid="{3D157DCD-FBD3-409E-923F-EFE77B916C71}"/>
    <cellStyle name="Kötü 13" xfId="919" xr:uid="{95DF55B1-7168-4131-A39F-F0EF0F69DCDE}"/>
    <cellStyle name="Kötü 14" xfId="920" xr:uid="{BE529996-20D7-4355-9D1D-087933543128}"/>
    <cellStyle name="Kötü 15" xfId="921" xr:uid="{D2E66DBB-FB9D-4669-9FA7-62054D5EAE9A}"/>
    <cellStyle name="Kötü 16" xfId="922" xr:uid="{75D7CE12-8E40-4321-8147-A9466193C55E}"/>
    <cellStyle name="Kötü 17" xfId="923" xr:uid="{47574858-3646-49F9-9495-7DA4407E2BD8}"/>
    <cellStyle name="Kötü 18" xfId="924" xr:uid="{37387B41-E4C4-463F-9AF1-E39B9159C5EA}"/>
    <cellStyle name="Kötü 19" xfId="925" xr:uid="{6BD7C25E-00D9-488B-A344-0F179E78D67F}"/>
    <cellStyle name="Kötü 2" xfId="926" xr:uid="{FCAD5F46-094D-48F0-A2B8-BEDBDDDA7EB2}"/>
    <cellStyle name="Kötü 20" xfId="927" xr:uid="{A4E51952-9F60-4B6E-803B-501EE912B347}"/>
    <cellStyle name="Kötü 21" xfId="928" xr:uid="{2BBECAFD-0C97-47C3-B95C-71C5851EF625}"/>
    <cellStyle name="Kötü 22" xfId="929" xr:uid="{8A9FF588-2AA8-4C5B-A5B1-E93170DA8524}"/>
    <cellStyle name="Kötü 23" xfId="930" xr:uid="{60CB0F4D-D625-46E9-A41D-AB4A2CE937F8}"/>
    <cellStyle name="Kötü 24" xfId="931" xr:uid="{4C11A66A-E2A9-4526-8F8A-E88575111463}"/>
    <cellStyle name="Kötü 25" xfId="932" xr:uid="{04E28CB8-3199-46E2-911E-4FB1C6A33285}"/>
    <cellStyle name="Kötü 3" xfId="933" xr:uid="{6B50729E-4F69-46EB-A300-E27570AAF5B9}"/>
    <cellStyle name="Kötü 4" xfId="934" xr:uid="{6BE545EC-8CCE-4127-904E-BCA787A9D4D0}"/>
    <cellStyle name="Kötü 5" xfId="935" xr:uid="{1E6EDC46-063A-4D27-881F-01D5C01D77A1}"/>
    <cellStyle name="Kötü 6" xfId="936" xr:uid="{4A237CD8-F9F7-4943-B6DA-2E688B2CAF98}"/>
    <cellStyle name="Kötü 7" xfId="937" xr:uid="{08DC67EA-6A67-4052-A3DC-BB7C4E9B39CE}"/>
    <cellStyle name="Kötü 8" xfId="938" xr:uid="{2F0261A4-7E1A-4418-8B83-52DDEB51A1AE}"/>
    <cellStyle name="Kötü 9" xfId="939" xr:uid="{8CCFB0D3-13EC-414C-B11F-FB7855A5169D}"/>
    <cellStyle name="Link Currency (0)" xfId="940" xr:uid="{00738344-4275-4AAA-B6F5-BA20A76D0BF3}"/>
    <cellStyle name="Link Currency (2)" xfId="941" xr:uid="{7C2D2D07-6A74-4C51-A080-8CD6E14F780B}"/>
    <cellStyle name="Link Units (0)" xfId="942" xr:uid="{E3739510-54D9-4ED4-B374-A4BA96A1078F}"/>
    <cellStyle name="Link Units (1)" xfId="943" xr:uid="{902B87CE-9C84-4E32-96DC-2BE22AD18BD7}"/>
    <cellStyle name="Link Units (2)" xfId="944" xr:uid="{3C9E48E1-F43C-48DF-BEA0-15B75491309A}"/>
    <cellStyle name="Linked Cell" xfId="945" xr:uid="{F8089E68-1254-42D8-B6D5-9C2736D8F51B}"/>
    <cellStyle name="liste" xfId="946" xr:uid="{EAB899DB-112A-48A4-A82B-4124B0D9AB8F}"/>
    <cellStyle name="MAINHEADER" xfId="947" xr:uid="{11F0D55C-A9CF-4128-B1EE-4A3B607FBDD6}"/>
    <cellStyle name="MARKA" xfId="948" xr:uid="{0971C43E-F733-43D1-BAE7-C1FE0233225E}"/>
    <cellStyle name="Matrix" xfId="949" xr:uid="{C7879EBE-75E4-4896-AE3D-833A736AFA86}"/>
    <cellStyle name="Millares [0]_detalle" xfId="950" xr:uid="{081A3E4B-4B9E-4A04-8A3C-4CCCE079CE49}"/>
    <cellStyle name="Millares_detalle" xfId="951" xr:uid="{8606A233-29DD-42F9-AF50-43705DEA2D33}"/>
    <cellStyle name="Milliers [0]_laroux" xfId="952" xr:uid="{3A58A887-89DC-43B9-8A8B-1573A4CD014B}"/>
    <cellStyle name="Milliers_laroux" xfId="953" xr:uid="{92C383DB-1FFA-4427-B12A-8CDBB441F6B3}"/>
    <cellStyle name="MODEL" xfId="954" xr:uid="{88D901D7-7052-4DEB-B0B0-CF29E9A7A930}"/>
    <cellStyle name="Model 2" xfId="955" xr:uid="{1E5B3445-74C7-4FC3-B361-46C6E65BEB50}"/>
    <cellStyle name="Moneda [0]_detalle" xfId="956" xr:uid="{BC49BF7F-2FFB-4FF4-AB62-B1628932020A}"/>
    <cellStyle name="Moneda_detalle" xfId="957" xr:uid="{C86E6D62-912B-43D2-BBA2-876A2F62FFB5}"/>
    <cellStyle name="Neutral" xfId="958" xr:uid="{5B11D7A4-FC1B-4A5F-9C3C-E5708A52A076}"/>
    <cellStyle name="Neutre" xfId="959" xr:uid="{9C6FF20C-78B8-43EA-AF41-F842133E354C}"/>
    <cellStyle name="no dec" xfId="960" xr:uid="{60A3E700-2B94-4574-BB80-1D650CD7611B}"/>
    <cellStyle name="Normal" xfId="0" builtinId="0"/>
    <cellStyle name="Normal - Style1" xfId="961" xr:uid="{0C61CB3B-3FEF-436A-9015-8E95EE155A3B}"/>
    <cellStyle name="Normal - Style1 10" xfId="962" xr:uid="{F88FA0BE-0CE7-411B-AF6B-65095CD40BA0}"/>
    <cellStyle name="Normal - Style1 2" xfId="963" xr:uid="{52ACC169-313A-4D96-B342-47A2D295C3FC}"/>
    <cellStyle name="Normal - Style1 3" xfId="964" xr:uid="{CA4545EB-F780-4AE4-8B98-515FE589AFE5}"/>
    <cellStyle name="Normal - Style1 4" xfId="965" xr:uid="{DD25EDAC-406E-4B84-AAC1-C2BB9B4E89A7}"/>
    <cellStyle name="Normal - Style1 5" xfId="966" xr:uid="{BD1F0DFF-6536-42A8-9D0D-88314B9C923E}"/>
    <cellStyle name="Normal - Style1 6" xfId="967" xr:uid="{3909D348-B910-4779-869A-7FD6BA5DC8F9}"/>
    <cellStyle name="Normal - Style1 7" xfId="968" xr:uid="{302A27FD-2B9A-4625-974F-F825585FCDB0}"/>
    <cellStyle name="Normal - Style1 8" xfId="969" xr:uid="{FDA0E438-1FF7-4F3C-9DEF-7D8A767000D8}"/>
    <cellStyle name="Normal - Style1 9" xfId="970" xr:uid="{9553ED3A-E895-4C18-AE2B-351CBD160A47}"/>
    <cellStyle name="Normal 10" xfId="971" xr:uid="{674DCF45-76C8-4658-9F6A-E9988827A558}"/>
    <cellStyle name="Normal 10 2" xfId="972" xr:uid="{D7CBD991-1809-413B-B9B4-0FABF0067794}"/>
    <cellStyle name="Normal 100" xfId="973" xr:uid="{8F3ABE8F-7563-486D-8225-38DC836C6133}"/>
    <cellStyle name="Normal 101" xfId="974" xr:uid="{772FA7D3-7365-42BE-89FD-A6B24EEF42B1}"/>
    <cellStyle name="Normal 102" xfId="975" xr:uid="{0B11C973-AFF5-498E-83D0-95C51A195686}"/>
    <cellStyle name="Normal 103" xfId="976" xr:uid="{02DDD910-EA23-44C4-B34C-8EC003E47C90}"/>
    <cellStyle name="Normal 104" xfId="977" xr:uid="{AD30A0C6-39E5-41AA-8FF9-C616E5BD59C5}"/>
    <cellStyle name="Normal 105" xfId="978" xr:uid="{A62CCC07-305A-44FA-BA1E-229719B37AA0}"/>
    <cellStyle name="Normal 106" xfId="979" xr:uid="{4A12222E-3DD0-4D37-8FA8-057D18BBE69A}"/>
    <cellStyle name="Normal 107" xfId="980" xr:uid="{BA517D75-362D-4F13-B37B-838EACF4530C}"/>
    <cellStyle name="Normal 108" xfId="981" xr:uid="{A27E6583-0AF3-4356-84D3-B9BC2A02E9A3}"/>
    <cellStyle name="Normal 109" xfId="982" xr:uid="{D772ED2D-5A24-4228-ABAB-F78132A50339}"/>
    <cellStyle name="Normal 11" xfId="983" xr:uid="{A35A9E7C-BBF8-40B5-BE94-C6818E62EB02}"/>
    <cellStyle name="Normal 11 2" xfId="984" xr:uid="{46933897-A182-44F7-83B9-EE59855D861C}"/>
    <cellStyle name="Normal 11 3" xfId="985" xr:uid="{D5715897-D91B-42CB-9C6B-B81DAF27898B}"/>
    <cellStyle name="Normal 11 4" xfId="986" xr:uid="{70AC0C4C-6BAB-403E-B762-FA13C09F319E}"/>
    <cellStyle name="Normal 11 5" xfId="987" xr:uid="{F41F58A0-CA27-4A1C-81B7-7F5CD5E827FA}"/>
    <cellStyle name="Normal 110" xfId="988" xr:uid="{36759555-7EF6-414F-A5BA-D161D3B1E2E8}"/>
    <cellStyle name="Normal 12" xfId="989" xr:uid="{AFB66779-21B6-4C56-950E-F7E1278054D7}"/>
    <cellStyle name="Normal 12 2" xfId="990" xr:uid="{2EE48CA9-4E7F-4932-9731-C2529969C8C3}"/>
    <cellStyle name="Normal 13" xfId="991" xr:uid="{DFD421F7-4945-435A-9063-92624A014650}"/>
    <cellStyle name="Normal 13 2" xfId="992" xr:uid="{68EF8082-D50E-4B9E-B4DF-C3A0D74B9E01}"/>
    <cellStyle name="Normal 13 3" xfId="993" xr:uid="{43E586B7-E836-4779-A3D0-EDE5FE840A57}"/>
    <cellStyle name="Normal 13 4" xfId="994" xr:uid="{751F13D4-0724-4F12-96F6-098D34762ECF}"/>
    <cellStyle name="Normal 13 5" xfId="995" xr:uid="{CEC8B107-CE12-47E0-950C-FE65F2DB76DD}"/>
    <cellStyle name="Normal 14" xfId="996" xr:uid="{474A3780-89C6-4FE5-AC91-61C341F27E93}"/>
    <cellStyle name="Normal 15" xfId="997" xr:uid="{D336EC56-B11F-48B8-A169-45A6D4BA32EE}"/>
    <cellStyle name="Normal 16" xfId="998" xr:uid="{25BA1967-745C-434D-986D-312665441363}"/>
    <cellStyle name="Normal 16 2" xfId="999" xr:uid="{FC2ED09A-9D34-46FE-BBBF-6A8CE0653752}"/>
    <cellStyle name="Normal 16 3" xfId="1000" xr:uid="{05C1D0E1-7DAC-4DB2-8FAB-BE235E5C43C0}"/>
    <cellStyle name="Normal 16 4" xfId="1001" xr:uid="{7C313E76-63DE-417A-9595-0041CBF7B51A}"/>
    <cellStyle name="Normal 16 5" xfId="1002" xr:uid="{E5279A31-6B2D-43A3-9170-E22AE849FC5E}"/>
    <cellStyle name="Normal 17" xfId="1003" xr:uid="{0CF3DA33-CC4C-499B-9458-9D9B78EFB14C}"/>
    <cellStyle name="Normal 17 2" xfId="1004" xr:uid="{5842C8F0-2894-4A9D-9334-3DE1F8A57105}"/>
    <cellStyle name="Normal 17 3" xfId="1005" xr:uid="{A13BB867-9AFF-43F8-A1D5-9E32C1228791}"/>
    <cellStyle name="Normal 17 4" xfId="1006" xr:uid="{15020D78-BB5E-4001-A731-9360703071E0}"/>
    <cellStyle name="Normal 17 5" xfId="1007" xr:uid="{09EF829B-65F2-42CC-90C0-D67E75B1CBB3}"/>
    <cellStyle name="Normal 18" xfId="1008" xr:uid="{8D5E6EA5-7F6A-4CC4-A291-6BBFC43467D7}"/>
    <cellStyle name="Normal 19" xfId="1009" xr:uid="{54C0EBB2-C67D-489D-9961-C4921353C771}"/>
    <cellStyle name="Normal 2" xfId="1010" xr:uid="{7FD56A51-5D88-40F8-9999-227EFD31AFD0}"/>
    <cellStyle name="Normal 2 10" xfId="1011" xr:uid="{E3B6F92B-A113-4B93-B3F8-99039FC1B462}"/>
    <cellStyle name="Normal 2 100" xfId="1012" xr:uid="{9FAB8733-4349-41AF-BF04-4213C45EF7EE}"/>
    <cellStyle name="Normal 2 101" xfId="1013" xr:uid="{917B8967-B21C-45E2-875C-F9DBFB91B922}"/>
    <cellStyle name="Normal 2 102" xfId="1014" xr:uid="{1359EEF0-4114-4A0B-80A7-56D5B2A29EBD}"/>
    <cellStyle name="Normal 2 103" xfId="1015" xr:uid="{B94EBCA7-C867-4187-9E69-334D191CDA35}"/>
    <cellStyle name="Normal 2 104" xfId="1016" xr:uid="{337B396B-956E-4AD0-B080-902BC31BCBD4}"/>
    <cellStyle name="Normal 2 105" xfId="1017" xr:uid="{DED269BC-8103-400B-B050-CFAD98344ACF}"/>
    <cellStyle name="Normal 2 106" xfId="1018" xr:uid="{28242C33-CEF1-44EF-A13D-03C6FFCD588E}"/>
    <cellStyle name="Normal 2 107" xfId="1019" xr:uid="{8728CCDC-7F2E-4372-A732-3D30314CEC3F}"/>
    <cellStyle name="Normal 2 108" xfId="1020" xr:uid="{098204AA-A37D-4590-8317-09929A62027C}"/>
    <cellStyle name="Normal 2 109" xfId="1021" xr:uid="{52EE09D1-0BF6-4925-98FD-17C7D123FC53}"/>
    <cellStyle name="Normal 2 11" xfId="1022" xr:uid="{A7806EC5-7C34-4825-81FD-CF723E8DB2CB}"/>
    <cellStyle name="Normal 2 110" xfId="1023" xr:uid="{F79B842B-CDA1-440F-8A99-747C2BBF0765}"/>
    <cellStyle name="Normal 2 111" xfId="1024" xr:uid="{9A3A46FF-5484-4F01-B198-BF7BA3368DED}"/>
    <cellStyle name="Normal 2 12" xfId="1025" xr:uid="{A39CA67F-26C0-4710-B83A-B07789F5DFC9}"/>
    <cellStyle name="Normal 2 13" xfId="1026" xr:uid="{D4A046C3-6505-440B-B02C-C5733E1D3853}"/>
    <cellStyle name="Normal 2 14" xfId="1027" xr:uid="{2191A084-867C-4FF7-A29C-15ED0B640FB8}"/>
    <cellStyle name="Normal 2 15" xfId="1028" xr:uid="{936B4C91-CD09-4F3E-A981-3010AB63968F}"/>
    <cellStyle name="Normal 2 16" xfId="1029" xr:uid="{A78F46F1-9E93-4BF4-85FA-1C73CACCFE0D}"/>
    <cellStyle name="Normal 2 17" xfId="1030" xr:uid="{8E059ED6-FA65-4955-8F88-75879C66D808}"/>
    <cellStyle name="Normal 2 18" xfId="1031" xr:uid="{3A0D7E8C-0378-402B-9D95-00D7E368046D}"/>
    <cellStyle name="Normal 2 19" xfId="1032" xr:uid="{FBC20D05-A6CD-492B-A085-234BB8842793}"/>
    <cellStyle name="Normal 2 2" xfId="1033" xr:uid="{7D791974-7E14-4983-AD01-6E25B9468D32}"/>
    <cellStyle name="Normal 2 2 2" xfId="1034" xr:uid="{6E0EABED-5089-499B-A37A-C539117D5758}"/>
    <cellStyle name="Normal 2 2 3" xfId="1035" xr:uid="{F4F8E6E1-5B4E-42A3-B289-8F82EE041EEC}"/>
    <cellStyle name="Normal 2 20" xfId="1036" xr:uid="{D32CFE1A-2A72-4618-80FF-5C6F6F8A2A22}"/>
    <cellStyle name="Normal 2 21" xfId="1037" xr:uid="{5B29F092-5D25-42E9-9871-12BBBE48823D}"/>
    <cellStyle name="Normal 2 22" xfId="1038" xr:uid="{72887B7A-8327-4AF7-A34D-2D4D0E2F3E44}"/>
    <cellStyle name="Normal 2 23" xfId="1039" xr:uid="{7CB4351E-C680-49D2-AB92-55DEFF86ACF5}"/>
    <cellStyle name="Normal 2 24" xfId="1040" xr:uid="{0853DFC0-4BCE-48A3-9171-03DDDC40A506}"/>
    <cellStyle name="Normal 2 25" xfId="1041" xr:uid="{8E5AC49D-12AA-4ABA-8865-DB16EF1E77BA}"/>
    <cellStyle name="Normal 2 26" xfId="1042" xr:uid="{4B8E2495-498C-4598-AE11-017777D95F75}"/>
    <cellStyle name="Normal 2 27" xfId="1043" xr:uid="{CC834479-CD60-4160-9C50-6F294328998E}"/>
    <cellStyle name="Normal 2 28" xfId="1044" xr:uid="{06572F5C-933E-4981-8190-3CD724A76C13}"/>
    <cellStyle name="Normal 2 29" xfId="1045" xr:uid="{4F09B790-01C8-4740-ACD0-16505798A819}"/>
    <cellStyle name="Normal 2 3" xfId="1046" xr:uid="{96D13824-FB24-4AEB-BE1F-605DCFBB6452}"/>
    <cellStyle name="Normal 2 30" xfId="1047" xr:uid="{B6CBD94F-1825-4B8A-9D4B-0ED4885B4D2F}"/>
    <cellStyle name="Normal 2 31" xfId="1048" xr:uid="{878D9DFC-E523-4E2E-804C-6D537CD260B6}"/>
    <cellStyle name="Normal 2 32" xfId="1049" xr:uid="{B0F8F95A-6D3A-42A7-B633-02CF08603EF2}"/>
    <cellStyle name="Normal 2 33" xfId="1050" xr:uid="{426D3B4B-3C08-4225-B85A-6D77966104B5}"/>
    <cellStyle name="Normal 2 34" xfId="1051" xr:uid="{55F90B5C-05F2-4BB3-A170-6DCC03AA9351}"/>
    <cellStyle name="Normal 2 35" xfId="1052" xr:uid="{2F44B5DB-83BE-4945-B8F4-90CD7C057B53}"/>
    <cellStyle name="Normal 2 36" xfId="1053" xr:uid="{CC2CD05C-7881-4B17-9E58-8F44947FCE51}"/>
    <cellStyle name="Normal 2 37" xfId="1054" xr:uid="{0FA8602A-3DC0-464E-B6B8-9F56B3763A9D}"/>
    <cellStyle name="Normal 2 38" xfId="1055" xr:uid="{7FD18783-1F57-4314-99E3-A0FE6CE1F36D}"/>
    <cellStyle name="Normal 2 39" xfId="1056" xr:uid="{084808EB-96F1-4A95-8A14-0A3D4EA4A5ED}"/>
    <cellStyle name="Normal 2 4" xfId="1057" xr:uid="{BC822BB2-8BFC-411E-AE37-C9A8ED7C9E7D}"/>
    <cellStyle name="Normal 2 40" xfId="1058" xr:uid="{F167343F-6BFC-488A-9771-89608D525B0E}"/>
    <cellStyle name="Normal 2 41" xfId="1059" xr:uid="{7684F9B9-8D58-4997-9412-9CA7779DB08B}"/>
    <cellStyle name="Normal 2 42" xfId="1060" xr:uid="{B24C4C23-DC38-4414-9D06-5F2633B786E5}"/>
    <cellStyle name="Normal 2 43" xfId="1061" xr:uid="{C3806E90-D507-421A-9DF4-46BD072FA088}"/>
    <cellStyle name="Normal 2 44" xfId="1062" xr:uid="{E0F397DF-BA3A-441D-943A-193523E19CD7}"/>
    <cellStyle name="Normal 2 45" xfId="1063" xr:uid="{0BFF0BF4-9A25-4F36-B40E-4B6B40DEEF9C}"/>
    <cellStyle name="Normal 2 46" xfId="1064" xr:uid="{9BFDA16B-C220-4489-99DC-23DEA33EFEE4}"/>
    <cellStyle name="Normal 2 47" xfId="1065" xr:uid="{E73B2EDC-223B-4269-B039-A9067FCE06EE}"/>
    <cellStyle name="Normal 2 48" xfId="1066" xr:uid="{434FC1B6-68E3-47B5-B831-D4A4A32B65B9}"/>
    <cellStyle name="Normal 2 49" xfId="1067" xr:uid="{DDEB7438-FEBC-41AB-8F67-BD0D8D562E10}"/>
    <cellStyle name="Normal 2 5" xfId="1068" xr:uid="{CDBC005D-E3EE-4C8C-B427-EAF80320DC76}"/>
    <cellStyle name="Normal 2 50" xfId="1069" xr:uid="{2D203603-7666-4B01-9C26-4581D51C1307}"/>
    <cellStyle name="Normal 2 51" xfId="1070" xr:uid="{DF3CC20F-83DF-49C9-9C2C-C9694E5F7BE5}"/>
    <cellStyle name="Normal 2 52" xfId="1071" xr:uid="{17C2C34D-57D4-4A2A-851E-EECC7C2BD9DF}"/>
    <cellStyle name="Normal 2 53" xfId="1072" xr:uid="{E2C29B8D-491F-4BA8-B149-D71044A6B323}"/>
    <cellStyle name="Normal 2 54" xfId="1073" xr:uid="{1BAFC0F7-B497-4107-9E77-3524695B76B4}"/>
    <cellStyle name="Normal 2 55" xfId="1074" xr:uid="{00D92F81-0C2C-48AA-AACF-B79F752B0E1A}"/>
    <cellStyle name="Normal 2 56" xfId="1075" xr:uid="{9F0FC578-E3EE-41D5-B340-01F5BF8E4FD0}"/>
    <cellStyle name="Normal 2 57" xfId="1076" xr:uid="{45F759C8-D012-4C2C-8541-9AEAB0C42AB5}"/>
    <cellStyle name="Normal 2 58" xfId="1077" xr:uid="{58835242-E221-4D47-8A2C-0EA3EBD6513D}"/>
    <cellStyle name="Normal 2 59" xfId="1078" xr:uid="{5C1F1AB5-50CD-465D-BD8B-A7178099AA47}"/>
    <cellStyle name="Normal 2 6" xfId="1079" xr:uid="{5F90B253-CABC-4FCA-94F2-9206B1E6FBA2}"/>
    <cellStyle name="Normal 2 60" xfId="1080" xr:uid="{38F53E3D-E79F-444A-A131-A1F795DEEE21}"/>
    <cellStyle name="Normal 2 61" xfId="1081" xr:uid="{038535F0-11E0-40CD-81E8-E0D476C5A2B3}"/>
    <cellStyle name="Normal 2 62" xfId="1082" xr:uid="{A19EF0CD-29FE-4B5C-B784-06FAD320FE71}"/>
    <cellStyle name="Normal 2 63" xfId="1083" xr:uid="{D5FA6A22-FB6C-434C-AE03-C5CF2BE0E1F8}"/>
    <cellStyle name="Normal 2 64" xfId="1084" xr:uid="{7EE2F17E-80C7-4450-BF0F-3675378A175C}"/>
    <cellStyle name="Normal 2 65" xfId="1085" xr:uid="{FB8F8FE8-2903-43F0-A12B-C19A05C22582}"/>
    <cellStyle name="Normal 2 66" xfId="1086" xr:uid="{BE36D57C-14C3-4344-ADC3-1DAA4831940F}"/>
    <cellStyle name="Normal 2 67" xfId="1087" xr:uid="{D42466DD-944D-41F5-BC4E-3A5364C242F4}"/>
    <cellStyle name="Normal 2 68" xfId="1088" xr:uid="{51DA14F6-0AB1-4328-B7BA-10472BDA8976}"/>
    <cellStyle name="Normal 2 69" xfId="1089" xr:uid="{F00C1C37-D4F3-485D-B47E-9522DC2AA573}"/>
    <cellStyle name="Normal 2 7" xfId="1090" xr:uid="{0BE969AE-CA73-4094-8BCB-AF65154C0D52}"/>
    <cellStyle name="Normal 2 70" xfId="1091" xr:uid="{961648C5-625F-43E9-9545-A9625719FEC9}"/>
    <cellStyle name="Normal 2 71" xfId="1092" xr:uid="{699F8D3C-A054-48D2-862E-5B7B6C6CED76}"/>
    <cellStyle name="Normal 2 72" xfId="1093" xr:uid="{F5614CC2-9C96-4B5F-8562-B3315E66D9BE}"/>
    <cellStyle name="Normal 2 73" xfId="1094" xr:uid="{2B94F91B-D20A-424C-9C85-63E53C023568}"/>
    <cellStyle name="Normal 2 74" xfId="1095" xr:uid="{5236F40F-36CB-457A-88B6-1272CC8154CD}"/>
    <cellStyle name="Normal 2 75" xfId="1096" xr:uid="{546166B8-CDEA-4E3E-B7AF-2AB16DB00E83}"/>
    <cellStyle name="Normal 2 76" xfId="1097" xr:uid="{D5CFEABE-25DB-46AA-8ED9-B6E57B02DB13}"/>
    <cellStyle name="Normal 2 77" xfId="1098" xr:uid="{90A47150-2DA0-412F-A4BF-C001686A26F4}"/>
    <cellStyle name="Normal 2 78" xfId="1099" xr:uid="{9745AF34-619D-465C-AECD-C7B3600769DF}"/>
    <cellStyle name="Normal 2 79" xfId="1100" xr:uid="{F2EDDA9D-2874-4A8E-A9F2-334F581E3429}"/>
    <cellStyle name="Normal 2 8" xfId="1101" xr:uid="{D39BB0F4-62D5-47C5-AB67-BB5C19C25B66}"/>
    <cellStyle name="Normal 2 80" xfId="1102" xr:uid="{6B9C9BD1-95C5-4C4E-9A51-052FAF0AB306}"/>
    <cellStyle name="Normal 2 81" xfId="1103" xr:uid="{56A6E5F7-19F6-4B00-A672-D57908BBE19D}"/>
    <cellStyle name="Normal 2 82" xfId="1104" xr:uid="{519F1081-72DF-4235-AE27-56577EB4FE98}"/>
    <cellStyle name="Normal 2 83" xfId="1105" xr:uid="{49F5BAAF-365E-45F8-8FC8-9948164E483F}"/>
    <cellStyle name="Normal 2 84" xfId="1106" xr:uid="{9082B539-ED27-4FF8-8D41-568EF360667A}"/>
    <cellStyle name="Normal 2 85" xfId="1107" xr:uid="{93AEB833-DC93-4352-A5A8-698E1932A99D}"/>
    <cellStyle name="Normal 2 86" xfId="1108" xr:uid="{C7E606AB-F0CA-4540-B039-521488E3D7E4}"/>
    <cellStyle name="Normal 2 87" xfId="1109" xr:uid="{83766EE9-66BC-4BB5-8E25-A692E6574674}"/>
    <cellStyle name="Normal 2 88" xfId="1110" xr:uid="{64819131-A9AC-4F2E-BD66-F923FB22810B}"/>
    <cellStyle name="Normal 2 89" xfId="1111" xr:uid="{2175B3E2-ADF9-4217-9441-1BF243698BD5}"/>
    <cellStyle name="Normal 2 9" xfId="1112" xr:uid="{FD47A303-1B5F-40D3-BCFB-99CDF1E8A961}"/>
    <cellStyle name="Normal 2 90" xfId="1113" xr:uid="{17EE3ACC-D75A-4EC1-AB6B-AD3003C42B5D}"/>
    <cellStyle name="Normal 2 91" xfId="1114" xr:uid="{0D02C99F-2330-44D2-A9E3-B6E22FE13422}"/>
    <cellStyle name="Normal 2 92" xfId="1115" xr:uid="{02EC8F4A-3B6A-442C-A1FD-FF8AF9DB0BDE}"/>
    <cellStyle name="Normal 2 93" xfId="1116" xr:uid="{58A9B0F1-F14D-4E74-BD20-52DC5C74DC7A}"/>
    <cellStyle name="Normal 2 94" xfId="1117" xr:uid="{5BFE7D2D-5650-46FF-AAB5-83219319CA1D}"/>
    <cellStyle name="Normal 2 95" xfId="1118" xr:uid="{D21A0A8D-767C-45CF-8E06-9B9F42ECBADE}"/>
    <cellStyle name="Normal 2 96" xfId="1119" xr:uid="{E3C4D737-A553-47D6-AF9D-BBD47CD2FC68}"/>
    <cellStyle name="Normal 2 97" xfId="1120" xr:uid="{8C1740C3-5366-4AA2-8764-C1172292ADFB}"/>
    <cellStyle name="Normal 2 98" xfId="1121" xr:uid="{37135E52-C610-43C6-912A-AF5A62428DD5}"/>
    <cellStyle name="Normal 2 99" xfId="1122" xr:uid="{4103C8E1-AF93-47B6-B6E1-0D0629464749}"/>
    <cellStyle name="Normal 2_BAB-TRABLUS-ELK-TEKLİF_R00" xfId="1123" xr:uid="{9120C987-06D3-44B6-92A8-367E40844A0B}"/>
    <cellStyle name="Normal 20" xfId="1124" xr:uid="{9AC3E255-B215-47F8-B93E-BCB5B85C7FF3}"/>
    <cellStyle name="Normal 21" xfId="1125" xr:uid="{F562E43E-B57C-4C86-B869-FA41C510D32F}"/>
    <cellStyle name="Normal 211" xfId="1126" xr:uid="{61554E55-20EF-4C74-9978-D49B14F62242}"/>
    <cellStyle name="Normal 22" xfId="1127" xr:uid="{3467916D-2D11-4B92-B195-315E8D08B376}"/>
    <cellStyle name="Normal 23" xfId="1128" xr:uid="{68C92407-F6C1-4232-AAD4-F1142D7670F9}"/>
    <cellStyle name="Normal 24" xfId="1129" xr:uid="{584AF755-E2B0-4DDA-96DC-90406F0C7DCA}"/>
    <cellStyle name="Normal 25" xfId="1130" xr:uid="{6AC8AB7E-6D3F-4706-81A1-18DCA3A94CA0}"/>
    <cellStyle name="Normal 26" xfId="1131" xr:uid="{1A891EF8-F184-4E63-B425-761A47897F2B}"/>
    <cellStyle name="Normal 27" xfId="1132" xr:uid="{FDC1DCD0-EC88-4786-A748-A984724A6C26}"/>
    <cellStyle name="Normal 28" xfId="1133" xr:uid="{A0F3FCC1-1F7E-4205-B2B3-C48174C41DD7}"/>
    <cellStyle name="Normal 29" xfId="1134" xr:uid="{6B6F4517-33B4-43C5-BBA1-EBE70A3ACABE}"/>
    <cellStyle name="Normal 3" xfId="1135" xr:uid="{D62048CD-9713-4982-A1E7-6DEFC73B6A4C}"/>
    <cellStyle name="Normal 3 10" xfId="1136" xr:uid="{877FC338-BA6B-4181-9EB7-CAED37026544}"/>
    <cellStyle name="Normal 3 100" xfId="1137" xr:uid="{10EC87A5-525B-4414-8C7A-66D155A98779}"/>
    <cellStyle name="Normal 3 101" xfId="1138" xr:uid="{6D0E7C82-24F6-4875-B92D-B61FB7CBEA4B}"/>
    <cellStyle name="Normal 3 102" xfId="1139" xr:uid="{5A7198CE-2236-48EA-B33F-74839C39CD23}"/>
    <cellStyle name="Normal 3 103" xfId="1140" xr:uid="{F6749CD6-EAEF-4974-AAF0-41A156FF6CBD}"/>
    <cellStyle name="Normal 3 104" xfId="1141" xr:uid="{C4443295-A9BD-42E1-93F9-E8E2FE4440B7}"/>
    <cellStyle name="Normal 3 105" xfId="1142" xr:uid="{32F48B77-F1FB-43B5-BD5B-39313D7995F0}"/>
    <cellStyle name="Normal 3 106" xfId="1143" xr:uid="{DB06E10D-6229-4D34-8718-F2C27FB02545}"/>
    <cellStyle name="Normal 3 107" xfId="1144" xr:uid="{0126BCB3-888A-469E-BBFA-8180318E66A1}"/>
    <cellStyle name="Normal 3 108" xfId="1145" xr:uid="{17127742-7D01-4853-B5DC-98892C17CAD1}"/>
    <cellStyle name="Normal 3 109" xfId="1146" xr:uid="{DEB10268-D0C3-4E12-8763-1D586AE2A646}"/>
    <cellStyle name="Normal 3 11" xfId="1147" xr:uid="{453FFF3A-9BD1-4868-82DA-0B47EAE584D8}"/>
    <cellStyle name="Normal 3 110" xfId="1148" xr:uid="{B017BAFE-7C87-4F9F-B470-9EC6B89196A3}"/>
    <cellStyle name="Normal 3 111" xfId="1149" xr:uid="{090B28AB-C4F8-43CB-A06D-C4F30FBD732B}"/>
    <cellStyle name="Normal 3 12" xfId="1150" xr:uid="{A3A91DEB-421B-467C-9FE5-C25CCE611E11}"/>
    <cellStyle name="Normal 3 13" xfId="1151" xr:uid="{EAB7064F-D448-4446-9C5A-2B03AA4BE1FD}"/>
    <cellStyle name="Normal 3 14" xfId="1152" xr:uid="{DF6D9D9D-F7CB-4C18-BFBB-83683464A382}"/>
    <cellStyle name="Normal 3 15" xfId="1153" xr:uid="{CCF8C3CE-6EE7-435B-BE60-A2943C82FD84}"/>
    <cellStyle name="Normal 3 16" xfId="1154" xr:uid="{45E4ADED-62C5-4D0D-9942-A7B0D954A738}"/>
    <cellStyle name="Normal 3 17" xfId="1155" xr:uid="{56B62CC6-33F0-4B7C-BEB5-535D9535F8B3}"/>
    <cellStyle name="Normal 3 18" xfId="1156" xr:uid="{3AA64008-5E4C-4E61-907C-B867378A01B1}"/>
    <cellStyle name="Normal 3 19" xfId="1157" xr:uid="{3E15FFEB-D777-4EFA-8B89-8BE47A7127AF}"/>
    <cellStyle name="Normal 3 2" xfId="1158" xr:uid="{552D0BBB-EF0B-463A-B0F6-B21A04180A73}"/>
    <cellStyle name="Normal 3 2 2" xfId="1159" xr:uid="{A8274E05-E020-4C5A-9B29-248742E28B61}"/>
    <cellStyle name="Normal 3 2 3" xfId="1160" xr:uid="{E4BBFE1E-18CE-4829-BAAB-58AEFA11D45E}"/>
    <cellStyle name="Normal 3 2_27 00 00-WEAK CURRENT" xfId="1161" xr:uid="{EE977F58-2494-404B-9351-11CC4C5E13F6}"/>
    <cellStyle name="Normal 3 20" xfId="1162" xr:uid="{3D575880-AA7B-4763-A891-B8B754E13A94}"/>
    <cellStyle name="Normal 3 21" xfId="1163" xr:uid="{9CF750FA-D83F-4699-A7BF-413C1CDBC8B6}"/>
    <cellStyle name="Normal 3 22" xfId="1164" xr:uid="{A1C7AC53-1177-4DD2-A02E-88AEE873EFEE}"/>
    <cellStyle name="Normal 3 23" xfId="1165" xr:uid="{56BA5B2E-226A-437D-90A5-DFBEB28999EA}"/>
    <cellStyle name="Normal 3 24" xfId="1166" xr:uid="{8D64AB0C-067B-497D-958A-2AEE11F9CD6C}"/>
    <cellStyle name="Normal 3 25" xfId="1167" xr:uid="{0A024E2B-8FAD-4B71-9241-E8788196685A}"/>
    <cellStyle name="Normal 3 26" xfId="1168" xr:uid="{9ED6134D-5A36-4C96-82C0-36F9CE33F10D}"/>
    <cellStyle name="Normal 3 27" xfId="1169" xr:uid="{0F657D47-4F00-4E98-8098-94FD15B8F5D4}"/>
    <cellStyle name="Normal 3 28" xfId="1170" xr:uid="{239EFE7A-8D87-4DF2-8379-189EC29B55CA}"/>
    <cellStyle name="Normal 3 29" xfId="1171" xr:uid="{04F1774E-B5FC-491F-B3B4-E4E3BC948389}"/>
    <cellStyle name="Normal 3 3" xfId="1172" xr:uid="{573EFA07-8E1F-4498-9994-750B11C50B51}"/>
    <cellStyle name="Normal 3 3 2" xfId="1173" xr:uid="{2BF9909D-BA40-4098-A33E-EA6C33351EC6}"/>
    <cellStyle name="Normal 3 3 3" xfId="1174" xr:uid="{E36EA9BB-1A41-4AF1-AB86-51ED9204FBDF}"/>
    <cellStyle name="Normal 3 3_27 00 00-WEAK CURRENT" xfId="1175" xr:uid="{41EB960E-FDD6-4BD3-B035-6835EE8069CB}"/>
    <cellStyle name="Normal 3 30" xfId="1176" xr:uid="{2B96336D-946B-405A-ABD1-F4B0AB5AE059}"/>
    <cellStyle name="Normal 3 31" xfId="1177" xr:uid="{698EB7F4-FB44-4E64-A6D0-529BC218CB9E}"/>
    <cellStyle name="Normal 3 32" xfId="1178" xr:uid="{311715FE-7271-4BA1-93ED-C71FDED0422F}"/>
    <cellStyle name="Normal 3 33" xfId="1179" xr:uid="{4F524C4E-38F5-4BBC-BC70-C3C5C9905C15}"/>
    <cellStyle name="Normal 3 34" xfId="1180" xr:uid="{CF766D63-9BF3-4BE9-89C9-F7866D9C6208}"/>
    <cellStyle name="Normal 3 35" xfId="1181" xr:uid="{7757F5BC-9C6E-48C1-BF6E-8994EE0076E3}"/>
    <cellStyle name="Normal 3 36" xfId="1182" xr:uid="{C0A8EE3D-30B4-4D95-A54B-3C26441BC213}"/>
    <cellStyle name="Normal 3 37" xfId="1183" xr:uid="{5FF14F83-AEEF-41B2-9B36-1BC7EFB1721A}"/>
    <cellStyle name="Normal 3 38" xfId="1184" xr:uid="{2B489801-7E1F-4986-858A-02D19DB01E24}"/>
    <cellStyle name="Normal 3 39" xfId="1185" xr:uid="{687B372F-427C-418B-AE4C-B0274B2EA80A}"/>
    <cellStyle name="Normal 3 4" xfId="1186" xr:uid="{C71B6200-2D87-45EB-8F89-0745769CE63C}"/>
    <cellStyle name="Normal 3 4 2" xfId="1187" xr:uid="{1B05DEE6-A6F3-4B02-A268-1DEB5C7A825E}"/>
    <cellStyle name="Normal 3 4 3" xfId="1188" xr:uid="{DDD9708C-2D54-47B6-A8AE-BF6CEC8FB11F}"/>
    <cellStyle name="Normal 3 4_27 00 00-WEAK CURRENT" xfId="1189" xr:uid="{8B604777-EBD6-4BD7-A6B7-CD398551A1AF}"/>
    <cellStyle name="Normal 3 40" xfId="1190" xr:uid="{DADCF572-3043-4B0B-A833-18153F510890}"/>
    <cellStyle name="Normal 3 41" xfId="1191" xr:uid="{FCC28CF2-0A95-460E-83EB-FDBB539E3B85}"/>
    <cellStyle name="Normal 3 42" xfId="1192" xr:uid="{D188525E-CD84-4AF7-BFF2-3252DD1C50B2}"/>
    <cellStyle name="Normal 3 43" xfId="1193" xr:uid="{D5882D1A-5F00-4B7F-94D2-E1E8FC06786E}"/>
    <cellStyle name="Normal 3 44" xfId="1194" xr:uid="{A440A532-44DA-4096-AC32-49F2894137CB}"/>
    <cellStyle name="Normal 3 45" xfId="1195" xr:uid="{3F33DD3B-1640-42AB-A1AA-A436DACA1BEA}"/>
    <cellStyle name="Normal 3 46" xfId="1196" xr:uid="{CF5CE5D1-3905-426D-89AA-3AA52D8543EE}"/>
    <cellStyle name="Normal 3 47" xfId="1197" xr:uid="{9325C69B-6753-4BA0-B160-F185075EE727}"/>
    <cellStyle name="Normal 3 48" xfId="1198" xr:uid="{92301D04-5E4C-46D8-A926-8A4804BB9D46}"/>
    <cellStyle name="Normal 3 49" xfId="1199" xr:uid="{A305A3A2-FCC6-4D5B-BC59-E123E4C08F91}"/>
    <cellStyle name="Normal 3 5" xfId="1200" xr:uid="{B391617B-4FFD-4B7D-B71E-2E3242952710}"/>
    <cellStyle name="Normal 3 50" xfId="1201" xr:uid="{6D9843D2-13B9-4B62-A1EA-D7EEACD1F2E6}"/>
    <cellStyle name="Normal 3 51" xfId="1202" xr:uid="{94FDE6DF-C4A8-4F8A-907D-932838F403A8}"/>
    <cellStyle name="Normal 3 52" xfId="1203" xr:uid="{38A8A3EE-7EF6-478A-AB95-C1287930A171}"/>
    <cellStyle name="Normal 3 53" xfId="1204" xr:uid="{92CEBCFB-F252-4FC6-9AF2-BB85AD479B68}"/>
    <cellStyle name="Normal 3 54" xfId="1205" xr:uid="{7AE7661A-0629-4983-BDEC-1E08FAA93FE5}"/>
    <cellStyle name="Normal 3 55" xfId="1206" xr:uid="{7F31CD5F-BE3C-4F03-BC09-6F2DAF2E0B64}"/>
    <cellStyle name="Normal 3 56" xfId="1207" xr:uid="{A0209E5C-D94A-4CA5-BDFA-A7FBBB09D2ED}"/>
    <cellStyle name="Normal 3 57" xfId="1208" xr:uid="{7FB80FDB-AFE8-4B8C-BC17-A1D8548D5A4D}"/>
    <cellStyle name="Normal 3 58" xfId="1209" xr:uid="{1E9DC40D-8773-4CB6-AB34-E4492939F92D}"/>
    <cellStyle name="Normal 3 59" xfId="1210" xr:uid="{DC553810-0F92-4DD6-9542-64DFC40AF1E0}"/>
    <cellStyle name="Normal 3 6" xfId="1211" xr:uid="{BDA039EC-2CA9-4DC5-BB88-A2EBCF6211FC}"/>
    <cellStyle name="Normal 3 60" xfId="1212" xr:uid="{6BBB9D17-F16D-4FA0-88A9-2EA64ECC4D9D}"/>
    <cellStyle name="Normal 3 61" xfId="1213" xr:uid="{A15F0869-965F-48E0-8718-A43746C30324}"/>
    <cellStyle name="Normal 3 62" xfId="1214" xr:uid="{1D4C1E84-6F58-491C-84A1-255487AAFE7A}"/>
    <cellStyle name="Normal 3 63" xfId="1215" xr:uid="{60813E30-B619-4BCB-8C5B-CC8E65FA32E5}"/>
    <cellStyle name="Normal 3 64" xfId="1216" xr:uid="{20373D14-629B-409B-A502-01C4DEA0595B}"/>
    <cellStyle name="Normal 3 65" xfId="1217" xr:uid="{B545BED2-4B53-4F2B-9D55-A9898BAADEC6}"/>
    <cellStyle name="Normal 3 66" xfId="1218" xr:uid="{D24609AF-C132-4138-8812-2A02D6667AB3}"/>
    <cellStyle name="Normal 3 67" xfId="1219" xr:uid="{97E51D90-51CF-4B52-94BE-F6871AB78B95}"/>
    <cellStyle name="Normal 3 68" xfId="1220" xr:uid="{513F59D7-B674-43A7-8E1D-3D8D023C2A52}"/>
    <cellStyle name="Normal 3 69" xfId="1221" xr:uid="{25901F37-2C2F-4587-9EC5-869BECE6326E}"/>
    <cellStyle name="Normal 3 7" xfId="1222" xr:uid="{5D65AC9C-2F88-44A1-BA60-9061A722C259}"/>
    <cellStyle name="Normal 3 70" xfId="1223" xr:uid="{E7BB1C11-5543-4D13-AED5-ACF14C2BB4CC}"/>
    <cellStyle name="Normal 3 71" xfId="1224" xr:uid="{BBBA180F-FBCB-41C3-A8E0-A3B00212FB66}"/>
    <cellStyle name="Normal 3 72" xfId="1225" xr:uid="{49F9DC44-10B0-4BBA-8A6A-E694E78A42A2}"/>
    <cellStyle name="Normal 3 73" xfId="1226" xr:uid="{EB2C0958-514D-4C9F-87C7-30B1DB8172F9}"/>
    <cellStyle name="Normal 3 74" xfId="1227" xr:uid="{14FAB064-46D7-43BB-9414-AA1A202AEAFD}"/>
    <cellStyle name="Normal 3 75" xfId="1228" xr:uid="{8F1DE250-C4B4-41D1-B040-ABA77EC0D1FF}"/>
    <cellStyle name="Normal 3 76" xfId="1229" xr:uid="{8F3A1096-CF61-4CB8-BB84-F2CE7B966F4E}"/>
    <cellStyle name="Normal 3 77" xfId="1230" xr:uid="{639C67F7-8FC4-4833-8459-B13CE62A7C73}"/>
    <cellStyle name="Normal 3 78" xfId="1231" xr:uid="{A367D6DF-9B35-43B4-8ECD-5519D5270FBE}"/>
    <cellStyle name="Normal 3 79" xfId="1232" xr:uid="{7B7485DE-AD44-43F9-8912-73A9134ABFAE}"/>
    <cellStyle name="Normal 3 8" xfId="1233" xr:uid="{EFB3EDC6-4320-4606-BE3C-E00B335C68E7}"/>
    <cellStyle name="Normal 3 80" xfId="1234" xr:uid="{86A4D60B-D5A6-4F8B-BF72-80A4029F35BD}"/>
    <cellStyle name="Normal 3 81" xfId="1235" xr:uid="{5E10D092-87FC-4EA8-B30F-7E273C3B7EBD}"/>
    <cellStyle name="Normal 3 82" xfId="1236" xr:uid="{4DF37873-AB15-4D10-B480-CE8D1F61ADBB}"/>
    <cellStyle name="Normal 3 83" xfId="1237" xr:uid="{49BBACF9-C28B-49E2-8942-3B29DF3A84A9}"/>
    <cellStyle name="Normal 3 84" xfId="1238" xr:uid="{824C56EE-D68D-4929-A092-2FE983ED0294}"/>
    <cellStyle name="Normal 3 85" xfId="1239" xr:uid="{ADE8675C-34F7-417B-B82F-11D7C924C8E9}"/>
    <cellStyle name="Normal 3 86" xfId="1240" xr:uid="{C49D9C1C-7CA0-4D52-B7D8-A0912D2D4079}"/>
    <cellStyle name="Normal 3 87" xfId="1241" xr:uid="{BA232200-4A5B-4FDD-9AEC-0896377330B4}"/>
    <cellStyle name="Normal 3 88" xfId="1242" xr:uid="{AF20A68C-F3B5-460F-89CB-EE25AF176402}"/>
    <cellStyle name="Normal 3 89" xfId="1243" xr:uid="{60332593-A15E-4781-8224-4C3E413C5D85}"/>
    <cellStyle name="Normal 3 9" xfId="1244" xr:uid="{0826D445-D709-499D-8EF0-1D1DDA1F583C}"/>
    <cellStyle name="Normal 3 90" xfId="1245" xr:uid="{11419F89-4B64-4571-A6F8-465F4D1F5BF8}"/>
    <cellStyle name="Normal 3 91" xfId="1246" xr:uid="{95636CC1-3A94-4B58-B143-9F3ED8919AA9}"/>
    <cellStyle name="Normal 3 92" xfId="1247" xr:uid="{E3D4FE57-7547-4E22-B838-47AD0466D5A8}"/>
    <cellStyle name="Normal 3 93" xfId="1248" xr:uid="{ED424669-F281-43DF-80D5-45DA9A1BD97D}"/>
    <cellStyle name="Normal 3 94" xfId="1249" xr:uid="{87E59620-8039-4DD3-9231-FDC8B0BCA7EE}"/>
    <cellStyle name="Normal 3 95" xfId="1250" xr:uid="{D3D1BA6C-88AD-400F-97E7-658CC7AA142A}"/>
    <cellStyle name="Normal 3 96" xfId="1251" xr:uid="{BAA77025-7743-4168-B207-473D35605FB2}"/>
    <cellStyle name="Normal 3 97" xfId="1252" xr:uid="{1082542D-5F88-4AF5-9225-7F2855FE8F99}"/>
    <cellStyle name="Normal 3 98" xfId="1253" xr:uid="{49C97470-F31A-450F-B0C0-A28F6F66F2CC}"/>
    <cellStyle name="Normal 3 99" xfId="1254" xr:uid="{98D781AF-B976-4AE1-99DD-E3FF7056B4EA}"/>
    <cellStyle name="Normal 3_01-DAR GÖVDELİ HANGAR" xfId="1255" xr:uid="{D67EA438-4916-4ABA-9D66-5286440F4DB4}"/>
    <cellStyle name="Normal 30" xfId="1256" xr:uid="{A1DB948C-95AF-4B7C-A0A2-38CA98B745F7}"/>
    <cellStyle name="Normal 31" xfId="1257" xr:uid="{12BB1722-7954-414C-91B4-AA010D9F7529}"/>
    <cellStyle name="Normal 32" xfId="1258" xr:uid="{4F00929E-A1F9-461D-91B9-5104713F9BDA}"/>
    <cellStyle name="Normal 33" xfId="1259" xr:uid="{BB5613C6-AF6D-4263-B85D-3AED97D6F623}"/>
    <cellStyle name="Normal 34" xfId="1260" xr:uid="{BBF8A88B-9414-455D-867F-A3FBDD837B55}"/>
    <cellStyle name="Normal 35" xfId="1261" xr:uid="{6801E72E-21A5-4D63-B205-D3E5A8525E43}"/>
    <cellStyle name="Normal 36" xfId="1262" xr:uid="{E2C03E10-06C3-44F8-9CCE-0BF846366CF2}"/>
    <cellStyle name="Normal 37" xfId="1263" xr:uid="{1A489D48-C1A0-4033-AAC4-59EA6869FDB1}"/>
    <cellStyle name="Normal 38" xfId="1264" xr:uid="{4E3CD38A-29C4-4FC9-987F-D0340E2064DF}"/>
    <cellStyle name="Normal 39" xfId="1265" xr:uid="{451B823F-2E7B-49AC-8116-6B667E54703A}"/>
    <cellStyle name="Normal 4" xfId="1266" xr:uid="{CB0114E3-2992-42F4-930D-9048A60F2990}"/>
    <cellStyle name="Normal 4 2" xfId="1267" xr:uid="{9DB85AFB-CCE1-4184-83CF-B2774048BC90}"/>
    <cellStyle name="Normal 4 3" xfId="1268" xr:uid="{95B59259-3742-4E2A-991B-ECD9CCFCE3C8}"/>
    <cellStyle name="Normal 4 4" xfId="1269" xr:uid="{FCA182E5-D8D2-47B7-9F23-8275494F17EB}"/>
    <cellStyle name="Normal 4 5" xfId="1270" xr:uid="{4E1F392C-7241-48F8-9D6A-D736FBDA80CC}"/>
    <cellStyle name="Normal 4 6" xfId="1271" xr:uid="{09AE7DCC-AC10-4F56-8DD1-A59C78940BE6}"/>
    <cellStyle name="Normal 40" xfId="1272" xr:uid="{FD71F4CC-2FA0-4065-8B5A-DECF66D6FF91}"/>
    <cellStyle name="Normal 41" xfId="1273" xr:uid="{1E9C51C4-9210-41B8-9256-B4AACEDE1ED9}"/>
    <cellStyle name="Normal 42" xfId="1274" xr:uid="{2C016D90-949F-470A-8E64-F78F6DCD248D}"/>
    <cellStyle name="Normal 43" xfId="1275" xr:uid="{D102A669-94B3-4BC5-9305-34E573FF1F50}"/>
    <cellStyle name="Normal 44" xfId="1276" xr:uid="{ABF23749-1995-45BE-AF3A-BF0A3F72C94E}"/>
    <cellStyle name="Normal 45" xfId="1277" xr:uid="{ADAD4767-E74D-4630-8912-7C966F70A74C}"/>
    <cellStyle name="Normal 46" xfId="1278" xr:uid="{4C51DB6C-887B-4A79-A0E3-39241FD01C14}"/>
    <cellStyle name="Normal 47" xfId="1279" xr:uid="{46A968AB-4178-4C5F-8892-5EB0BA9090EC}"/>
    <cellStyle name="Normal 48" xfId="1280" xr:uid="{66DFDF19-3360-476E-9B7C-64351627AC32}"/>
    <cellStyle name="Normal 49" xfId="1281" xr:uid="{8DDCB08D-44B3-43F2-B949-1763176293B2}"/>
    <cellStyle name="Normal 5" xfId="1282" xr:uid="{C0C023E3-4736-46A7-AE28-F53A4BC29E2E}"/>
    <cellStyle name="Normal 5 2" xfId="1283" xr:uid="{C8AB1EA9-E41D-4A44-B00E-5F830CDAD313}"/>
    <cellStyle name="Normal 5 3" xfId="1284" xr:uid="{F7AB272B-0D79-4CA6-999C-A461F6184290}"/>
    <cellStyle name="Normal 50" xfId="1285" xr:uid="{5C2C66C0-53A9-4B1E-A641-9A20349F93E0}"/>
    <cellStyle name="Normal 51" xfId="1286" xr:uid="{BC6CC2E4-1EA1-4245-BA91-B325EF8D2444}"/>
    <cellStyle name="Normal 52" xfId="1287" xr:uid="{9F8940BF-116B-43AA-A678-FBEDDDB83336}"/>
    <cellStyle name="Normal 53" xfId="1288" xr:uid="{D3DE2757-9B06-428B-BBAC-6BF22DDBF86B}"/>
    <cellStyle name="Normal 54" xfId="1289" xr:uid="{15A89E55-0AA8-4E5A-AB04-1EFC71C4D5D5}"/>
    <cellStyle name="Normal 55" xfId="1290" xr:uid="{E4627951-15B2-4832-AE8F-26B38F537F9F}"/>
    <cellStyle name="Normal 56" xfId="1291" xr:uid="{80481FCC-D784-4169-845C-D91513B6A4C7}"/>
    <cellStyle name="Normal 57" xfId="1292" xr:uid="{900D8819-BE5C-4858-A04B-6E17915BB1E5}"/>
    <cellStyle name="Normal 58" xfId="1293" xr:uid="{DBAF340B-DC3F-4D29-A8DE-597A3A3CD625}"/>
    <cellStyle name="Normal 59" xfId="1294" xr:uid="{F84718E0-0524-4E90-BC75-06294C124AA6}"/>
    <cellStyle name="Normal 6" xfId="1295" xr:uid="{77A7CC17-01E2-495F-A4DC-CB0F48194517}"/>
    <cellStyle name="Normal 60" xfId="1296" xr:uid="{1562618B-040F-4FB7-8FCF-2B5B228BE37E}"/>
    <cellStyle name="Normal 61" xfId="1297" xr:uid="{C4FFD4B5-8D38-4FF1-ABDF-335A74454A33}"/>
    <cellStyle name="Normal 62" xfId="1298" xr:uid="{126201A4-3416-4199-8122-77B5FA56EFC7}"/>
    <cellStyle name="Normal 63" xfId="1299" xr:uid="{4A02ED27-8668-4939-88BD-678FF84FF1A6}"/>
    <cellStyle name="Normal 64" xfId="1300" xr:uid="{A1C2CA26-CBAA-436D-9C8E-F0C6277ED7E0}"/>
    <cellStyle name="Normal 65" xfId="1301" xr:uid="{3FA86726-12D5-47F5-BE0C-18795C106A42}"/>
    <cellStyle name="Normal 66" xfId="1302" xr:uid="{F5CA679B-3E08-45AE-9602-D1AC8DD4D01F}"/>
    <cellStyle name="Normal 67" xfId="1303" xr:uid="{12A4F16B-3670-434F-9780-AC6EB9249F27}"/>
    <cellStyle name="Normal 68" xfId="1304" xr:uid="{283C3F48-B07A-4C35-A70C-169972B9A110}"/>
    <cellStyle name="Normal 69" xfId="1305" xr:uid="{B1F9048C-76B2-424D-8BE4-7CB3B13EB4AB}"/>
    <cellStyle name="Normal 7" xfId="1306" xr:uid="{1AE9037E-D6E7-4E1B-ADF3-6FC8FEF041B1}"/>
    <cellStyle name="Normal 7 2" xfId="1307" xr:uid="{EE3E5258-3D9D-4223-A37A-6EAECDD69F90}"/>
    <cellStyle name="Normal 70" xfId="1308" xr:uid="{4CB3D553-F380-48CF-AC9D-92877C4A1914}"/>
    <cellStyle name="Normal 71" xfId="1309" xr:uid="{B4E4B829-AA07-41B9-9AA3-63C5FC18950E}"/>
    <cellStyle name="Normal 72" xfId="1310" xr:uid="{556A5C9F-0C5B-4A75-AFA6-0634C447388D}"/>
    <cellStyle name="Normal 73" xfId="1311" xr:uid="{0E055C7D-4905-4E84-A870-E4D4539A1C2A}"/>
    <cellStyle name="Normal 74" xfId="1312" xr:uid="{318CA575-D74F-4756-9E31-F42A3EB96C32}"/>
    <cellStyle name="Normal 75" xfId="1313" xr:uid="{074976D9-0B03-4BFC-ACFD-DAF277315B55}"/>
    <cellStyle name="Normal 76" xfId="1314" xr:uid="{BCEA4618-F194-4646-B90A-2898B4935196}"/>
    <cellStyle name="Normal 77" xfId="1315" xr:uid="{183AA037-93B3-45BC-8723-A85AA05ECEF2}"/>
    <cellStyle name="Normal 78" xfId="1316" xr:uid="{55A3B996-B9C3-478B-99F0-10EBBE6DE23D}"/>
    <cellStyle name="Normal 79" xfId="1317" xr:uid="{07CE24E1-17BA-43E8-9575-51DC7E0E9000}"/>
    <cellStyle name="Normal 8" xfId="1318" xr:uid="{12783EE6-4C20-45FF-ACC7-11A8E9D09648}"/>
    <cellStyle name="Normal 8 2" xfId="1319" xr:uid="{F2A67931-C79E-454B-938D-B0643CFEC745}"/>
    <cellStyle name="Normal 8 3" xfId="1320" xr:uid="{8D8CF5AD-423F-4227-B689-727828ECA58A}"/>
    <cellStyle name="Normal 80" xfId="1321" xr:uid="{4E0ADD55-1DEB-42F3-971B-222BF50F63AD}"/>
    <cellStyle name="Normal 81" xfId="1322" xr:uid="{E44D1FA6-9541-433E-8BC2-EB2B955BF27F}"/>
    <cellStyle name="Normal 82" xfId="1323" xr:uid="{B564C64D-7418-4561-BC5D-866F23BA3A86}"/>
    <cellStyle name="Normal 83" xfId="1324" xr:uid="{27AC8980-1488-4492-9F49-09122657F729}"/>
    <cellStyle name="Normal 84" xfId="1325" xr:uid="{8CE5A8FE-277F-4D7B-98DA-B5E7E2C5A743}"/>
    <cellStyle name="Normal 85" xfId="1326" xr:uid="{59517D8B-43D6-4B80-AD91-D424686A8E27}"/>
    <cellStyle name="Normal 86" xfId="1327" xr:uid="{A9A4FAE8-5737-46DA-A41E-DEBFC9A64473}"/>
    <cellStyle name="Normal 87" xfId="1328" xr:uid="{1E7BEC2D-01E2-46DC-A195-3C41FE689B68}"/>
    <cellStyle name="Normal 88" xfId="1329" xr:uid="{AFE4B48B-EA2D-4E8A-B051-4DD9E871C581}"/>
    <cellStyle name="Normal 89" xfId="1330" xr:uid="{F44489A4-6EA7-492A-A651-743F38766FFE}"/>
    <cellStyle name="Normal 9" xfId="1331" xr:uid="{CD0EA30F-E85F-41EE-AA12-BAEEE79A7E4D}"/>
    <cellStyle name="Normal 9 2" xfId="1332" xr:uid="{3ABDA21C-C58B-46E1-AA6A-8F5C8EBFF70D}"/>
    <cellStyle name="Normal 90" xfId="1333" xr:uid="{27A6CAEA-BEDF-4CD9-9673-A13CD020C6A2}"/>
    <cellStyle name="Normal 91" xfId="1334" xr:uid="{9228FF29-ABF2-475A-83F0-1A26E84DE1B5}"/>
    <cellStyle name="Normal 92" xfId="1335" xr:uid="{1B0316D0-976E-4535-A875-5A273E98B716}"/>
    <cellStyle name="Normal 93" xfId="1336" xr:uid="{610BDB36-6FE6-494C-9F0D-9758C522C1DC}"/>
    <cellStyle name="Normal 94" xfId="1337" xr:uid="{4BCD3C8E-9192-4656-A131-73C8023B5D34}"/>
    <cellStyle name="Normal 95" xfId="1338" xr:uid="{38F61900-0249-4832-B380-07CA17F4CD7E}"/>
    <cellStyle name="Normal 96" xfId="1339" xr:uid="{354A8F90-6B48-49F0-9499-31352B6A2659}"/>
    <cellStyle name="Normal 97" xfId="1340" xr:uid="{0E0372C7-215A-4919-83BE-80F9BC4C5ADD}"/>
    <cellStyle name="Normal 98" xfId="1341" xr:uid="{FCA27821-F47B-4A11-98C5-1DC5EA881591}"/>
    <cellStyle name="Normal 99" xfId="1342" xr:uid="{3327C1D8-022B-4ACC-99FB-8484038B6624}"/>
    <cellStyle name="Normal_ABAY_Elektrik_kesif_list_fiyatli_TR_RUS_05_03_10" xfId="1343" xr:uid="{16A1A67A-3AA1-42F0-8DF4-84A151AA4473}"/>
    <cellStyle name="Normal_elektrik_kesif_listesi 2" xfId="1344" xr:uid="{9662BBFA-7F38-4A29-B05E-EF1118C0BB1F}"/>
    <cellStyle name="normální_BOQ-mech" xfId="1345" xr:uid="{E2A0FE25-5634-4E72-A031-0F09FAD06458}"/>
    <cellStyle name="Not 10" xfId="1346" xr:uid="{D2B46404-4232-4065-86C0-14275ADA8A12}"/>
    <cellStyle name="Not 11" xfId="1347" xr:uid="{56390332-FEED-41CF-BC12-983385C20ABA}"/>
    <cellStyle name="Not 12" xfId="1348" xr:uid="{6932E23C-60FA-4376-B944-AB3519DFA99F}"/>
    <cellStyle name="Not 13" xfId="1349" xr:uid="{DCC6E191-8213-4370-91E2-291F727365A5}"/>
    <cellStyle name="Not 14" xfId="1350" xr:uid="{C869EECA-2D3E-43D9-94A0-2649220FB389}"/>
    <cellStyle name="Not 15" xfId="1351" xr:uid="{16FE7528-96F4-4FC5-97FD-765B615DCC90}"/>
    <cellStyle name="Not 16" xfId="1352" xr:uid="{F0B388E2-EDD5-4FE8-8753-EDADCEBEA0D6}"/>
    <cellStyle name="Not 17" xfId="1353" xr:uid="{3DF1E00E-C1D0-4479-A6F6-D22C5A67E35F}"/>
    <cellStyle name="Not 18" xfId="1354" xr:uid="{5A78345D-D2D5-4D83-B41E-8C14C109CEB0}"/>
    <cellStyle name="Not 19" xfId="1355" xr:uid="{CA98ED0F-263D-47EF-A662-19BEAF382860}"/>
    <cellStyle name="Not 2" xfId="1356" xr:uid="{B621ABCE-8CB3-4D5E-B91E-8BB4BC4AAE14}"/>
    <cellStyle name="Not 20" xfId="1357" xr:uid="{F0D17321-64AA-465B-9901-8DDFABDAD721}"/>
    <cellStyle name="Not 21" xfId="1358" xr:uid="{6A35EF21-FD8A-49D8-84A1-A1F80C998C7E}"/>
    <cellStyle name="Not 22" xfId="1359" xr:uid="{5F81834D-9177-47EB-A721-419625989B09}"/>
    <cellStyle name="Not 23" xfId="1360" xr:uid="{E51C2885-2DBC-448B-8E05-0C2C1BBBAB4B}"/>
    <cellStyle name="Not 24" xfId="1361" xr:uid="{5FE55C77-28C4-4703-A6E8-56B8C82285A1}"/>
    <cellStyle name="Not 25" xfId="1362" xr:uid="{4E28A8E3-7A4B-41DF-9EE8-6F8FD9F17596}"/>
    <cellStyle name="Not 3" xfId="1363" xr:uid="{542D05C9-5191-4D6C-AAF1-E9990D948787}"/>
    <cellStyle name="Not 4" xfId="1364" xr:uid="{937D48FD-C731-429F-A089-C9CF94388542}"/>
    <cellStyle name="Not 5" xfId="1365" xr:uid="{5685B9B8-3D07-4BCE-9BF0-B2AA5591D00C}"/>
    <cellStyle name="Not 6" xfId="1366" xr:uid="{DD003C68-1A8E-4978-BA96-AF9787C9AA23}"/>
    <cellStyle name="Not 7" xfId="1367" xr:uid="{1B638904-36C3-4B0A-A69A-9493C143F733}"/>
    <cellStyle name="Not 8" xfId="1368" xr:uid="{412637B4-91CA-475C-8F45-0E10D3AF3B43}"/>
    <cellStyle name="Not 9" xfId="1369" xr:uid="{5638F856-F6A1-4444-A966-355B4EC7088A}"/>
    <cellStyle name="Note" xfId="1370" xr:uid="{BC767C53-B6F3-471D-A10C-8EF14EAF16A4}"/>
    <cellStyle name="Note 2" xfId="1371" xr:uid="{4EC2F835-3D21-45E5-881E-660404FA5F3A}"/>
    <cellStyle name="Note 3" xfId="1372" xr:uid="{A9217F6B-EF01-44F4-BC85-A1DF48EA44A0}"/>
    <cellStyle name="Note 4" xfId="1373" xr:uid="{25AAE77F-908E-4039-B7E5-CD647DF75FA3}"/>
    <cellStyle name="Note 5" xfId="1374" xr:uid="{9B80D3A8-D247-4C7F-AD09-317D8401378A}"/>
    <cellStyle name="Nötr 10" xfId="1375" xr:uid="{D23CCBCA-FAEE-4E57-BA24-9FB612C7EAAD}"/>
    <cellStyle name="Nötr 11" xfId="1376" xr:uid="{C2CCF471-3074-436A-89EB-1ED61799BCB6}"/>
    <cellStyle name="Nötr 12" xfId="1377" xr:uid="{9CADA386-412C-4F71-B7B7-EE0B1CF72E8C}"/>
    <cellStyle name="Nötr 13" xfId="1378" xr:uid="{3D31A092-7002-4595-8E73-FEA74FFE434A}"/>
    <cellStyle name="Nötr 14" xfId="1379" xr:uid="{7C61CE9B-B58F-49F1-9FD1-7A6DDE8B7D63}"/>
    <cellStyle name="Nötr 15" xfId="1380" xr:uid="{71005B8C-1912-4475-9E78-D1B428850D70}"/>
    <cellStyle name="Nötr 16" xfId="1381" xr:uid="{5AFA63D9-BED9-4914-A01E-06D4292632CA}"/>
    <cellStyle name="Nötr 17" xfId="1382" xr:uid="{6D9AFD09-266A-479D-AADC-2CFCAAFE88B3}"/>
    <cellStyle name="Nötr 18" xfId="1383" xr:uid="{D530B856-7AC1-43FF-A966-4CEEDB63D68C}"/>
    <cellStyle name="Nötr 19" xfId="1384" xr:uid="{6FFD2884-B882-4FB2-9B8E-80D777E7B664}"/>
    <cellStyle name="Nötr 2" xfId="1385" xr:uid="{D3758053-0E27-4CB1-9442-430B8AC561F6}"/>
    <cellStyle name="Nötr 20" xfId="1386" xr:uid="{4F6B08A2-5578-4649-B838-E1FEF9748400}"/>
    <cellStyle name="Nötr 21" xfId="1387" xr:uid="{10CF9959-B47C-450C-BDEC-4DC34DB43217}"/>
    <cellStyle name="Nötr 22" xfId="1388" xr:uid="{3F668615-13A3-4B1D-9A30-365430B28D8F}"/>
    <cellStyle name="Nötr 23" xfId="1389" xr:uid="{A9962601-7BA9-4510-A4AE-712C6517D609}"/>
    <cellStyle name="Nötr 24" xfId="1390" xr:uid="{09786D23-D6AE-4F1A-8E52-15003D3753E3}"/>
    <cellStyle name="Nötr 25" xfId="1391" xr:uid="{659366DB-5951-48C0-9E9F-E06A8D294BEF}"/>
    <cellStyle name="Nötr 3" xfId="1392" xr:uid="{AE059C83-6687-4403-AD5D-DDA9812BE99E}"/>
    <cellStyle name="Nötr 4" xfId="1393" xr:uid="{F43CED19-CAF5-4651-A8A4-6BA6C7FCAF51}"/>
    <cellStyle name="Nötr 5" xfId="1394" xr:uid="{A6BDD2C8-EB89-481E-BD7F-1A382EC4E6DF}"/>
    <cellStyle name="Nötr 6" xfId="1395" xr:uid="{EB84645A-8538-4B87-A416-0139325058D9}"/>
    <cellStyle name="Nötr 7" xfId="1396" xr:uid="{F7B725A6-FCFC-44A8-B284-08D32FA9D46F}"/>
    <cellStyle name="Nötr 8" xfId="1397" xr:uid="{584F34BA-1D14-4B53-911E-1A98E56974B4}"/>
    <cellStyle name="Nötr 9" xfId="1398" xr:uid="{4CC226EE-0CC8-4BC2-B808-F2A6829683F7}"/>
    <cellStyle name="Numer katalog" xfId="1399" xr:uid="{D2885AF9-C37D-4FCC-8539-C7CE3E59269F}"/>
    <cellStyle name="Œ…‹æØ‚è [0.00]_laroux" xfId="1400" xr:uid="{B42877E0-C52B-4B6A-8C55-59FD8D5356D3}"/>
    <cellStyle name="Œ…‹æØ‚è_laroux" xfId="1401" xr:uid="{6BEFCA68-77CF-48E8-B345-DF84E78F08CE}"/>
    <cellStyle name="Option" xfId="1402" xr:uid="{7FC1235A-077E-4FED-B6DD-0D79F2AE88B4}"/>
    <cellStyle name="OptionHeading" xfId="1403" xr:uid="{3BFA185F-332E-43B6-96EC-2C6F4DFC7322}"/>
    <cellStyle name="Output" xfId="1404" xr:uid="{8FB8DAE1-E6D4-4421-B8AC-2913B1B9D645}"/>
    <cellStyle name="ParaBirimi 2 2 2" xfId="1405" xr:uid="{15375A9E-0198-4719-AB1D-36146BE56833}"/>
    <cellStyle name="Percent [0]" xfId="1406" xr:uid="{5CD37860-8703-4043-91F5-435FA5E81758}"/>
    <cellStyle name="Percent [0] 2" xfId="1407" xr:uid="{1536E38A-B309-4896-970E-4327EF77FB4D}"/>
    <cellStyle name="Percent [00]" xfId="1408" xr:uid="{9299D795-DEAA-47E4-BAD1-117039ED893D}"/>
    <cellStyle name="Percent [00] 2" xfId="1409" xr:uid="{F42417AC-F1E0-4DC7-9863-C8C1018C69C4}"/>
    <cellStyle name="Percent [2]" xfId="1410" xr:uid="{0433F9AB-C827-4EFA-BB2D-1E85492EBB3E}"/>
    <cellStyle name="Percent [2] 10" xfId="1411" xr:uid="{8C3D0F3E-4A92-48DD-94D0-58406C61179A}"/>
    <cellStyle name="Percent [2] 2" xfId="1412" xr:uid="{E9F0EDCE-8D25-4B8C-93CB-22753F737B91}"/>
    <cellStyle name="Percent [2] 3" xfId="1413" xr:uid="{DFD3B517-413E-459B-9406-102377DB7E5B}"/>
    <cellStyle name="Percent [2] 4" xfId="1414" xr:uid="{3994156F-937F-47F7-8A61-7A9E7E0B4752}"/>
    <cellStyle name="Percent [2] 5" xfId="1415" xr:uid="{044541EA-AEFB-4682-B26E-C5E73F83FB65}"/>
    <cellStyle name="Percent [2] 6" xfId="1416" xr:uid="{DE864A78-B1F5-4297-95F8-B392215AB2F7}"/>
    <cellStyle name="Percent [2] 7" xfId="1417" xr:uid="{39E780A5-692F-47FB-8BC4-149C3986F42B}"/>
    <cellStyle name="Percent [2] 8" xfId="1418" xr:uid="{0FAADA39-0705-43D0-B842-C41318FB9F62}"/>
    <cellStyle name="Percent [2] 9" xfId="1419" xr:uid="{A1408C62-C21F-4FE7-AD09-10028266C584}"/>
    <cellStyle name="Percent_#6 Temps &amp; Contractors" xfId="1420" xr:uid="{BDC3A1C4-9E8B-45CF-8FE3-D7D0BE5A0F72}"/>
    <cellStyle name="PrePop Currency (0)" xfId="1421" xr:uid="{29AA27D7-D792-46F1-A6AA-5A002DFA2497}"/>
    <cellStyle name="PrePop Currency (2)" xfId="1422" xr:uid="{66D02EB5-9C7A-42C8-AE48-B33626C28265}"/>
    <cellStyle name="PrePop Units (0)" xfId="1423" xr:uid="{733CA450-7134-4459-9EA1-7C8BFDF95F44}"/>
    <cellStyle name="PrePop Units (1)" xfId="1424" xr:uid="{DA839921-55C3-4F3C-920B-24E10D395733}"/>
    <cellStyle name="PrePop Units (2)" xfId="1425" xr:uid="{98C356FD-248A-427B-B50F-BC35EA19AF2D}"/>
    <cellStyle name="Price" xfId="1426" xr:uid="{3680DE20-7B13-4AD8-885B-730BED8F80FF}"/>
    <cellStyle name="q" xfId="1427" xr:uid="{415DA2BE-29EE-4B15-B942-B6C57416B382}"/>
    <cellStyle name="Satisfaisant" xfId="1428" xr:uid="{C8C8950C-C4AC-4DA0-9E3F-16EDB9E3276A}"/>
    <cellStyle name="Sortie" xfId="1429" xr:uid="{6FF8617C-BA40-412D-8B74-49C30502F659}"/>
    <cellStyle name="Standard_Anpassen der Amortisation" xfId="1430" xr:uid="{EAC12C1E-4698-4D19-B887-7900F5DD0E5A}"/>
    <cellStyle name="Stil 1" xfId="1431" xr:uid="{572EA504-7F8F-4F6F-88C5-C004AD8F2DD9}"/>
    <cellStyle name="Stil 1 10" xfId="1432" xr:uid="{45DF0F91-4689-4FCE-9C72-51873A4C920E}"/>
    <cellStyle name="Stil 1 2" xfId="1433" xr:uid="{BE6244C8-5D5A-413B-B5A9-C424DA5317D6}"/>
    <cellStyle name="Stil 1 3" xfId="1434" xr:uid="{B975BEF2-65F1-4165-A3D8-4132190696F3}"/>
    <cellStyle name="Stil 1 4" xfId="1435" xr:uid="{879C34EF-B5D1-40C4-8BC4-CB37EAD64ADB}"/>
    <cellStyle name="Stil 1_Teklif" xfId="1436" xr:uid="{0B6AC284-2776-447A-BABF-A286EE6EE3FA}"/>
    <cellStyle name="Stil 10" xfId="1437" xr:uid="{E0779AEF-228B-4BB8-BAAA-0AA23BD6358D}"/>
    <cellStyle name="Stil 11" xfId="1438" xr:uid="{EF35676C-FE86-4387-BF46-FBD95569AFF9}"/>
    <cellStyle name="Stil 12" xfId="1439" xr:uid="{B2CBDFDA-658D-4350-AAF9-B9DE300FA435}"/>
    <cellStyle name="Stil 13" xfId="1440" xr:uid="{D31A3D2D-0DC1-4462-A98B-4072DFEE4F51}"/>
    <cellStyle name="Stil 14" xfId="1441" xr:uid="{48FDEE05-CD01-4FEC-8067-2CE7BDA033FE}"/>
    <cellStyle name="Stil 15" xfId="1442" xr:uid="{1CCDFE2D-5816-460A-BDCD-E250846D2111}"/>
    <cellStyle name="Stil 16" xfId="1443" xr:uid="{30F5A0C7-67ED-4AAF-BE0E-67CEF84ED504}"/>
    <cellStyle name="Stil 17" xfId="1444" xr:uid="{EC3D0C21-08E1-4971-B2F2-DB1986BFDF94}"/>
    <cellStyle name="Stil 18" xfId="1445" xr:uid="{8FACF6DA-17C5-4204-91FB-432B4EB5F363}"/>
    <cellStyle name="Stil 19" xfId="1446" xr:uid="{20513E29-CEB9-42F0-8217-D0B9330CF3B7}"/>
    <cellStyle name="Stil 2" xfId="1447" xr:uid="{7D6B9F60-2955-498C-851E-DFEA3C81CA32}"/>
    <cellStyle name="Stil 3" xfId="1448" xr:uid="{D8057AA7-1028-4D93-AE83-366E945BFE2D}"/>
    <cellStyle name="Stil 4" xfId="1449" xr:uid="{61061DC0-AF6F-463D-B9AB-97E2A50B9319}"/>
    <cellStyle name="Stil 5" xfId="1450" xr:uid="{F124809B-CB55-462A-A320-407889F6B217}"/>
    <cellStyle name="Stil 6" xfId="1451" xr:uid="{739302A4-C77B-4C50-97A3-F4FA01A53BFC}"/>
    <cellStyle name="Stil 7" xfId="1452" xr:uid="{76A5D6B2-1645-4D68-B656-3E7938217A39}"/>
    <cellStyle name="Stil 8" xfId="1453" xr:uid="{711E47EB-AF6C-4875-941F-547E0740523B}"/>
    <cellStyle name="Stil 9" xfId="1454" xr:uid="{29A639DE-81F2-4428-98BE-CB1FDA6A025F}"/>
    <cellStyle name="Style 1" xfId="1455" xr:uid="{CACC58E3-0E55-4E71-8D40-86934DAC8B37}"/>
    <cellStyle name="Style 1 2" xfId="1456" xr:uid="{FA0907EE-1A33-4E0B-A1DF-F8B472DA1AA2}"/>
    <cellStyle name="subhead" xfId="1457" xr:uid="{CBCBC98C-C1D6-49D5-829A-94770C073485}"/>
    <cellStyle name="SWT-Number" xfId="1458" xr:uid="{999A9AC2-8572-4AB5-A4C0-13B84AA4A519}"/>
    <cellStyle name="tabel" xfId="1459" xr:uid="{0C083496-574A-415D-9DA7-25EA5C1BCB50}"/>
    <cellStyle name="Tarih" xfId="1460" xr:uid="{DCE990D3-1CBE-483E-8D04-BC7BFEF1CC09}"/>
    <cellStyle name="Text Indent A" xfId="1461" xr:uid="{71DBC9BD-1678-48C9-8184-9FD6209FD478}"/>
    <cellStyle name="Text Indent B" xfId="1462" xr:uid="{EE05BC28-CAD5-49E5-82FF-92CBB558B567}"/>
    <cellStyle name="Text Indent C" xfId="1463" xr:uid="{C2B3DC29-D0A2-475C-BC42-0D6E42B723FC}"/>
    <cellStyle name="Texte explicatif" xfId="1464" xr:uid="{3EDDB009-13ED-4115-A901-26D5DEAD3D6B}"/>
    <cellStyle name="Times New Roman" xfId="1465" xr:uid="{E4CC870D-3F8A-4E76-9DD2-01C71B0B73AC}"/>
    <cellStyle name="Titel" xfId="1466" xr:uid="{174531E5-F522-4DC4-8916-E6A89479FFF7}"/>
    <cellStyle name="Title" xfId="1467" xr:uid="{38509996-4615-49E1-A500-BA0F77BE1B89}"/>
    <cellStyle name="Titre" xfId="1468" xr:uid="{46D79A83-78FC-4394-95CE-71706805A027}"/>
    <cellStyle name="Titre 1" xfId="1469" xr:uid="{A2B12CBE-E229-420E-B3B7-5EC8B40F3E49}"/>
    <cellStyle name="Titre 2" xfId="1470" xr:uid="{70184B20-9C67-4772-AF4A-932B98B3874A}"/>
    <cellStyle name="Titre 3" xfId="1471" xr:uid="{85AEE990-7FE0-4315-A1A0-A541E270E4C5}"/>
    <cellStyle name="Titre 4" xfId="1472" xr:uid="{66B65F90-C226-4D5E-A6DF-3B0A16A4DDAD}"/>
    <cellStyle name="Toplam 10" xfId="1473" xr:uid="{2F6AE005-215E-4041-B151-A80A695CCBA9}"/>
    <cellStyle name="Toplam 11" xfId="1474" xr:uid="{90BC2C2B-1C4A-4A0F-852B-CCAFE2C08F58}"/>
    <cellStyle name="Toplam 12" xfId="1475" xr:uid="{2400BD5B-428B-47B8-A59F-889A7F74FF76}"/>
    <cellStyle name="Toplam 13" xfId="1476" xr:uid="{40628BDF-B431-41F9-A708-4D4C896BA8FB}"/>
    <cellStyle name="Toplam 14" xfId="1477" xr:uid="{F3605FBD-8151-49FD-888D-EC7FE9B23AA8}"/>
    <cellStyle name="Toplam 15" xfId="1478" xr:uid="{E767E06B-B7A2-46D9-85E6-0F5218DC44F5}"/>
    <cellStyle name="Toplam 16" xfId="1479" xr:uid="{BB7901CC-A818-4626-8AFE-7D11520F9A67}"/>
    <cellStyle name="Toplam 17" xfId="1480" xr:uid="{42EBE0ED-EAF4-453B-9D75-CCA0534F2106}"/>
    <cellStyle name="Toplam 18" xfId="1481" xr:uid="{03234C8B-BD56-4D47-8A30-E22B5A2E151D}"/>
    <cellStyle name="Toplam 19" xfId="1482" xr:uid="{26A48F79-E5AE-4844-822B-9B9E7E913AC2}"/>
    <cellStyle name="Toplam 2" xfId="1483" xr:uid="{11F8E501-E142-405C-B1BB-ABD918942C56}"/>
    <cellStyle name="Toplam 20" xfId="1484" xr:uid="{4B5E6D5D-7B85-4E29-A08A-FD05877787A5}"/>
    <cellStyle name="Toplam 21" xfId="1485" xr:uid="{5CD825E1-E979-493E-9E02-6C985261D9E5}"/>
    <cellStyle name="Toplam 22" xfId="1486" xr:uid="{67399BF2-347A-4814-8CEA-32E381538A95}"/>
    <cellStyle name="Toplam 23" xfId="1487" xr:uid="{D729A66F-EA4F-411D-9FE7-AF374457E187}"/>
    <cellStyle name="Toplam 24" xfId="1488" xr:uid="{8B777068-D4BD-4547-B21F-0F631323E4C0}"/>
    <cellStyle name="Toplam 25" xfId="1489" xr:uid="{310456AD-B1BC-4C6B-AD65-04A15EF31A54}"/>
    <cellStyle name="Toplam 3" xfId="1490" xr:uid="{42036EA8-719E-4E51-842A-9E0895D7B26F}"/>
    <cellStyle name="Toplam 4" xfId="1491" xr:uid="{29242569-A735-430E-A8D3-8A5D93761EAF}"/>
    <cellStyle name="Toplam 5" xfId="1492" xr:uid="{5DB46331-F547-4B4F-8E0D-C1CD4A819C6B}"/>
    <cellStyle name="Toplam 6" xfId="1493" xr:uid="{1BA4A7A6-E299-46C0-A83A-6E8B1F718E4B}"/>
    <cellStyle name="Toplam 7" xfId="1494" xr:uid="{4C2C0F51-0DF4-4290-AA09-9BDE0BB7198C}"/>
    <cellStyle name="Toplam 8" xfId="1495" xr:uid="{82F8D42D-A077-423E-9CA3-6CA08EB2FBF4}"/>
    <cellStyle name="Toplam 9" xfId="1496" xr:uid="{E0626276-A47B-49A5-92D9-510A1165F36E}"/>
    <cellStyle name="Total" xfId="1497" xr:uid="{9576188B-1685-4556-8574-235A5601AAB8}"/>
    <cellStyle name="Total 2" xfId="1498" xr:uid="{85C1C842-E787-4D18-AB2B-69C9FBA7B4FE}"/>
    <cellStyle name="Total 3" xfId="1499" xr:uid="{F91E04C9-D5AF-4E85-A6AD-53CD0769A8CA}"/>
    <cellStyle name="Total 4" xfId="1500" xr:uid="{A576DC15-E182-4709-B103-C358BD45A785}"/>
    <cellStyle name="Total 5" xfId="1501" xr:uid="{59E59382-5470-4F90-8996-1A6B6B07EC9A}"/>
    <cellStyle name="Unit" xfId="1502" xr:uid="{83654CAD-7581-43D1-B33E-B972141BB37B}"/>
    <cellStyle name="Update" xfId="1503" xr:uid="{8EAE7E76-AA13-4B10-ACB1-264E9A908FF6}"/>
    <cellStyle name="URUNKODU" xfId="1504" xr:uid="{F8DDBA66-7F83-4F44-A411-BB68A0BE65FF}"/>
    <cellStyle name="Uyarı Metni 10" xfId="1505" xr:uid="{36DBFF51-0802-45BC-9196-F7FDD591DFAC}"/>
    <cellStyle name="Uyarı Metni 11" xfId="1506" xr:uid="{297C0C2C-FA1D-4495-BEC4-E1C0539A055D}"/>
    <cellStyle name="Uyarı Metni 12" xfId="1507" xr:uid="{E61AB25F-352E-421C-8EB7-4E01F539B5C0}"/>
    <cellStyle name="Uyarı Metni 13" xfId="1508" xr:uid="{930FBFFE-1965-4741-9B22-D4709C1C891E}"/>
    <cellStyle name="Uyarı Metni 14" xfId="1509" xr:uid="{DF8FC853-65C7-4495-9F1D-4EA58F231D09}"/>
    <cellStyle name="Uyarı Metni 15" xfId="1510" xr:uid="{5C4F4374-0A04-4A7B-A52E-884E30785874}"/>
    <cellStyle name="Uyarı Metni 16" xfId="1511" xr:uid="{A4C8244C-EE5A-4B8D-8F45-76027D1C1944}"/>
    <cellStyle name="Uyarı Metni 17" xfId="1512" xr:uid="{02F84327-B7D1-4658-A3D6-04E6A830E055}"/>
    <cellStyle name="Uyarı Metni 18" xfId="1513" xr:uid="{BFF3160A-8EB8-40C0-8539-EFB195DF5D20}"/>
    <cellStyle name="Uyarı Metni 19" xfId="1514" xr:uid="{8F9A0E91-364B-4FD4-8856-B9ED3412B604}"/>
    <cellStyle name="Uyarı Metni 2" xfId="1515" xr:uid="{FE32A311-D6EB-4E5F-8E75-784EAB7EE89B}"/>
    <cellStyle name="Uyarı Metni 20" xfId="1516" xr:uid="{AE645204-1C3F-4581-B611-3E422AA88FBA}"/>
    <cellStyle name="Uyarı Metni 21" xfId="1517" xr:uid="{27BD072C-C4A2-4AFA-B0CB-A3F4492E0200}"/>
    <cellStyle name="Uyarı Metni 22" xfId="1518" xr:uid="{2147F7D5-C606-464A-B102-AF836C67E5CF}"/>
    <cellStyle name="Uyarı Metni 23" xfId="1519" xr:uid="{8D898D73-B94E-4B2F-8472-2845340D9113}"/>
    <cellStyle name="Uyarı Metni 24" xfId="1520" xr:uid="{1DED83BF-62D8-4614-946D-9FFC38B54630}"/>
    <cellStyle name="Uyarı Metni 25" xfId="1521" xr:uid="{4EB141DD-E055-4F07-ACC3-8A7A3B9E9A84}"/>
    <cellStyle name="Uyarı Metni 3" xfId="1522" xr:uid="{A498F792-7AF2-461A-AF35-374C26E88F87}"/>
    <cellStyle name="Uyarı Metni 4" xfId="1523" xr:uid="{C1F743C3-8F50-498A-B489-867D152844E7}"/>
    <cellStyle name="Uyarı Metni 5" xfId="1524" xr:uid="{D136DC63-4710-48CF-8ED8-A1D682106223}"/>
    <cellStyle name="Uyarı Metni 6" xfId="1525" xr:uid="{1ED85417-59CF-4658-959B-4D6B87B1E595}"/>
    <cellStyle name="Uyarı Metni 7" xfId="1526" xr:uid="{AD87B08E-187C-4636-9EBC-241D968F4963}"/>
    <cellStyle name="Uyarı Metni 8" xfId="1527" xr:uid="{527BF911-740A-46F0-9129-00877DA2E9B2}"/>
    <cellStyle name="Uyarı Metni 9" xfId="1528" xr:uid="{D690AD69-DE0A-4321-BC98-EDC924696103}"/>
    <cellStyle name="Vérification" xfId="1529" xr:uid="{99DA3BB4-EE06-4FB4-BA4E-0B517E55807D}"/>
    <cellStyle name="Vertical" xfId="1530" xr:uid="{9159275F-23A4-4919-A899-530E384C13F2}"/>
    <cellStyle name="Virgül [0]" xfId="1531" xr:uid="{742CCE11-9DD5-4440-BD01-998035254165}"/>
    <cellStyle name="Virgül [0] 2" xfId="1532" xr:uid="{34DBBFF7-008E-4564-8F01-08C0F3AA6552}"/>
    <cellStyle name="Virgül 2" xfId="1533" xr:uid="{1850390A-3520-4809-8D12-9F0469F08533}"/>
    <cellStyle name="Virgül 2 2" xfId="1534" xr:uid="{ECD341AE-4711-4BA9-B206-580F71855763}"/>
    <cellStyle name="Virgül 3" xfId="1535" xr:uid="{878A1BED-72DC-4F95-A2F2-D7C8E01711BE}"/>
    <cellStyle name="Vurgu1 10" xfId="1536" xr:uid="{7201DA70-AE43-4006-B697-9E346F349C76}"/>
    <cellStyle name="Vurgu1 11" xfId="1537" xr:uid="{9507C35F-D413-4717-99E0-28CAA7A50FDE}"/>
    <cellStyle name="Vurgu1 12" xfId="1538" xr:uid="{31ED43D4-44AE-462F-9D73-BA1CD637D175}"/>
    <cellStyle name="Vurgu1 13" xfId="1539" xr:uid="{CDC12E40-FF39-4F72-BE57-7446280849B0}"/>
    <cellStyle name="Vurgu1 14" xfId="1540" xr:uid="{95B59ABA-3BD3-4E47-BB70-7670F5A41832}"/>
    <cellStyle name="Vurgu1 15" xfId="1541" xr:uid="{EB2216D0-F6D9-4297-A278-47CF8D11CB3E}"/>
    <cellStyle name="Vurgu1 16" xfId="1542" xr:uid="{0EADEFFF-452D-4B3D-924B-1EB6DEEE96C7}"/>
    <cellStyle name="Vurgu1 17" xfId="1543" xr:uid="{40DC2C81-2D5A-4FF4-8391-322FE176E60F}"/>
    <cellStyle name="Vurgu1 18" xfId="1544" xr:uid="{C1E89030-A1C2-4869-9A69-28DDFFDDA840}"/>
    <cellStyle name="Vurgu1 19" xfId="1545" xr:uid="{51B72CD0-D8C5-4F31-AE56-610B85CDF7AD}"/>
    <cellStyle name="Vurgu1 2" xfId="1546" xr:uid="{D76A8494-BCAB-43B8-ADD0-5D4E8D8230FE}"/>
    <cellStyle name="Vurgu1 20" xfId="1547" xr:uid="{C0C4012A-D9ED-49F9-A5E5-CD9F8F2672AA}"/>
    <cellStyle name="Vurgu1 21" xfId="1548" xr:uid="{52F56AEE-2FF7-4C3B-9276-EBD10BCFC939}"/>
    <cellStyle name="Vurgu1 22" xfId="1549" xr:uid="{16917E59-9587-4A79-9525-94FE68392F5F}"/>
    <cellStyle name="Vurgu1 23" xfId="1550" xr:uid="{8F31F506-63A9-4142-ACF1-49EC03C64537}"/>
    <cellStyle name="Vurgu1 24" xfId="1551" xr:uid="{F4AED267-4AEC-4241-AA6F-8D578DEE65B9}"/>
    <cellStyle name="Vurgu1 25" xfId="1552" xr:uid="{B1579AE6-2C42-4AB9-B842-107927330F2A}"/>
    <cellStyle name="Vurgu1 3" xfId="1553" xr:uid="{E60017BC-E677-4F57-B07E-9437FB86EA17}"/>
    <cellStyle name="Vurgu1 4" xfId="1554" xr:uid="{74AA4233-72C0-4AD0-97C5-1ABCE234AF7C}"/>
    <cellStyle name="Vurgu1 5" xfId="1555" xr:uid="{86B9C3D7-D692-4FD6-B28D-F15A59C26833}"/>
    <cellStyle name="Vurgu1 6" xfId="1556" xr:uid="{758DA390-192C-4B5A-BF6D-22B3EC7595BD}"/>
    <cellStyle name="Vurgu1 7" xfId="1557" xr:uid="{C5E41FE8-4ABB-4C98-BBBD-D0BFBB1B5C84}"/>
    <cellStyle name="Vurgu1 8" xfId="1558" xr:uid="{B9D1EDA4-4201-41AB-B7B0-3AC8C0B61C40}"/>
    <cellStyle name="Vurgu1 9" xfId="1559" xr:uid="{14CEE5EA-AC14-4551-8768-2D6EC4721955}"/>
    <cellStyle name="Vurgu2 10" xfId="1560" xr:uid="{0D18A920-D452-48AC-AACC-582743B350D6}"/>
    <cellStyle name="Vurgu2 11" xfId="1561" xr:uid="{2672FC35-7319-4AC9-93D5-2A0BDA39D605}"/>
    <cellStyle name="Vurgu2 12" xfId="1562" xr:uid="{7A5F918B-667D-425F-969F-FE1C165EE738}"/>
    <cellStyle name="Vurgu2 13" xfId="1563" xr:uid="{15779653-C9B5-417E-9AE7-94875D3E85DC}"/>
    <cellStyle name="Vurgu2 14" xfId="1564" xr:uid="{1264F560-894B-4A23-A5AF-439670FC65CD}"/>
    <cellStyle name="Vurgu2 15" xfId="1565" xr:uid="{669574BD-6D93-4AFC-98BF-5285306D959F}"/>
    <cellStyle name="Vurgu2 16" xfId="1566" xr:uid="{A4768FCB-EBE0-4888-BF14-8C8BA785E53D}"/>
    <cellStyle name="Vurgu2 17" xfId="1567" xr:uid="{01DDEABB-D1B0-4887-ACA6-11B58B3AE3BC}"/>
    <cellStyle name="Vurgu2 18" xfId="1568" xr:uid="{FED9E8B1-8A2C-48E7-B9B6-A5C2CF8090FA}"/>
    <cellStyle name="Vurgu2 19" xfId="1569" xr:uid="{FD84D10C-014C-4CD4-99B0-25D7ADA2744A}"/>
    <cellStyle name="Vurgu2 2" xfId="1570" xr:uid="{EB727C69-2FAC-4307-906E-BA905F4ACD88}"/>
    <cellStyle name="Vurgu2 20" xfId="1571" xr:uid="{9B175AB9-0E63-4C4E-B738-BEEEFAEF5358}"/>
    <cellStyle name="Vurgu2 21" xfId="1572" xr:uid="{1E8B43F1-33BA-460C-9B18-8C6F2069AF21}"/>
    <cellStyle name="Vurgu2 22" xfId="1573" xr:uid="{2587AE29-CFB6-4A74-87A6-DA342557D10A}"/>
    <cellStyle name="Vurgu2 23" xfId="1574" xr:uid="{1FC456A9-550A-4519-9BC4-6D6061E58404}"/>
    <cellStyle name="Vurgu2 24" xfId="1575" xr:uid="{63269CBC-5AC7-4962-B109-D3F9AF614624}"/>
    <cellStyle name="Vurgu2 25" xfId="1576" xr:uid="{9EFA4BD6-50E7-4E0F-9C08-565DBF023A1B}"/>
    <cellStyle name="Vurgu2 3" xfId="1577" xr:uid="{584A5E8C-3FC2-4B85-B63E-F933D096490B}"/>
    <cellStyle name="Vurgu2 4" xfId="1578" xr:uid="{B789EE0A-C54B-422C-ABDA-410397A7D156}"/>
    <cellStyle name="Vurgu2 5" xfId="1579" xr:uid="{EFC5B890-B99E-4E85-8186-09E9E864438F}"/>
    <cellStyle name="Vurgu2 6" xfId="1580" xr:uid="{2237979F-EACF-442F-AA77-24080A767EA2}"/>
    <cellStyle name="Vurgu2 7" xfId="1581" xr:uid="{8D0DDDFA-4106-43ED-9172-71D6A4616301}"/>
    <cellStyle name="Vurgu2 8" xfId="1582" xr:uid="{BA43FA43-C526-4B40-8FC4-07A5E865554B}"/>
    <cellStyle name="Vurgu2 9" xfId="1583" xr:uid="{9314287C-53B6-4A96-A9A3-48C49CD9306C}"/>
    <cellStyle name="Vurgu3 10" xfId="1584" xr:uid="{E70820CA-6A51-438C-98F0-E62514EA6FF7}"/>
    <cellStyle name="Vurgu3 11" xfId="1585" xr:uid="{337A391D-42BD-4DE4-B77A-BBCDA3AE7501}"/>
    <cellStyle name="Vurgu3 12" xfId="1586" xr:uid="{20F6E8BA-2EA9-48AA-9BD2-57B25E41AE93}"/>
    <cellStyle name="Vurgu3 13" xfId="1587" xr:uid="{4AD61252-8C32-4BFE-906D-8A722C72C148}"/>
    <cellStyle name="Vurgu3 14" xfId="1588" xr:uid="{021CD2CC-E5CC-4538-9540-6913AFB73E28}"/>
    <cellStyle name="Vurgu3 15" xfId="1589" xr:uid="{4F4AAFFF-8987-488D-8CA5-5EACC001F283}"/>
    <cellStyle name="Vurgu3 16" xfId="1590" xr:uid="{C59FA0F2-3924-48D7-88BD-7A8F09D24A8D}"/>
    <cellStyle name="Vurgu3 17" xfId="1591" xr:uid="{5A62F2F4-3C61-413C-9FC5-6FFCF54FFDB6}"/>
    <cellStyle name="Vurgu3 18" xfId="1592" xr:uid="{52A42250-E0EA-4334-B684-70387B88E4C9}"/>
    <cellStyle name="Vurgu3 19" xfId="1593" xr:uid="{ADCDF38E-A657-475F-B854-A888C3302274}"/>
    <cellStyle name="Vurgu3 2" xfId="1594" xr:uid="{076A2F64-0834-4BCC-9ACD-DDA940808D6E}"/>
    <cellStyle name="Vurgu3 20" xfId="1595" xr:uid="{5DB0226E-0FA7-47F6-BC61-FE5C332CF06B}"/>
    <cellStyle name="Vurgu3 21" xfId="1596" xr:uid="{A1C48AF8-7684-4F3A-AC0D-F15FD2412A5B}"/>
    <cellStyle name="Vurgu3 22" xfId="1597" xr:uid="{38DB696F-D7B7-4FA9-8E1B-55D7DD92FF05}"/>
    <cellStyle name="Vurgu3 23" xfId="1598" xr:uid="{5C1257F3-E6BB-4399-82CA-C76ACE7FB6FA}"/>
    <cellStyle name="Vurgu3 24" xfId="1599" xr:uid="{99154757-F9EF-4335-991C-47EF21F27334}"/>
    <cellStyle name="Vurgu3 25" xfId="1600" xr:uid="{93CEB18F-4299-4690-971F-C795F54189CC}"/>
    <cellStyle name="Vurgu3 3" xfId="1601" xr:uid="{9A567671-7758-4768-A2C6-5CB49D24BFBE}"/>
    <cellStyle name="Vurgu3 4" xfId="1602" xr:uid="{43ED9F3E-14A4-40AB-989C-8EBB233D7341}"/>
    <cellStyle name="Vurgu3 5" xfId="1603" xr:uid="{C0F4BB17-6E40-47D3-A373-9FAF5F4FDB0B}"/>
    <cellStyle name="Vurgu3 6" xfId="1604" xr:uid="{A9961B18-237E-4493-927E-569686D521E6}"/>
    <cellStyle name="Vurgu3 7" xfId="1605" xr:uid="{31C9295F-DEA3-4F83-8A43-FCB070558953}"/>
    <cellStyle name="Vurgu3 8" xfId="1606" xr:uid="{74D96B7E-CF88-4B31-83E5-A7D252C4577E}"/>
    <cellStyle name="Vurgu3 9" xfId="1607" xr:uid="{1CE4744B-9B41-4116-B463-56173AD98571}"/>
    <cellStyle name="Vurgu4 10" xfId="1608" xr:uid="{61CAA5FF-7F41-4393-9C37-40A92F95A8AC}"/>
    <cellStyle name="Vurgu4 11" xfId="1609" xr:uid="{4ED293C1-01AE-4DC0-8C76-EE8E1A95EEB7}"/>
    <cellStyle name="Vurgu4 12" xfId="1610" xr:uid="{F9FD5787-C075-46EC-8C2C-C8A6CEFD0B5E}"/>
    <cellStyle name="Vurgu4 13" xfId="1611" xr:uid="{0A74F08E-81BE-4090-B17F-00A68FDFC372}"/>
    <cellStyle name="Vurgu4 14" xfId="1612" xr:uid="{4B14DD7E-BBE9-4DF9-9392-817958BCCB19}"/>
    <cellStyle name="Vurgu4 15" xfId="1613" xr:uid="{1A23C3DE-0123-4221-9586-9D82E6F38B24}"/>
    <cellStyle name="Vurgu4 16" xfId="1614" xr:uid="{B2817D44-0C05-4C09-83F4-3196EFF7F32C}"/>
    <cellStyle name="Vurgu4 17" xfId="1615" xr:uid="{59511E0C-EF09-4704-B3A0-9C2F2B7FE5D1}"/>
    <cellStyle name="Vurgu4 18" xfId="1616" xr:uid="{A2B74B94-1384-41AC-8C32-A562E4144C00}"/>
    <cellStyle name="Vurgu4 19" xfId="1617" xr:uid="{F61EBDEA-C206-46BF-B068-EFCD5B297B2A}"/>
    <cellStyle name="Vurgu4 2" xfId="1618" xr:uid="{45E94313-83A1-4F6A-B394-6C4664E8C80F}"/>
    <cellStyle name="Vurgu4 20" xfId="1619" xr:uid="{C75E68EE-8D5D-4210-B7D4-BCE6CDEB6CA7}"/>
    <cellStyle name="Vurgu4 21" xfId="1620" xr:uid="{47B08B4A-CEEE-4D43-ACF3-F831B9D23988}"/>
    <cellStyle name="Vurgu4 22" xfId="1621" xr:uid="{F88C7A0F-F45A-4611-9B16-7EC9E7DF0399}"/>
    <cellStyle name="Vurgu4 23" xfId="1622" xr:uid="{8C0BD8DC-68B4-4489-9F28-014913A40E19}"/>
    <cellStyle name="Vurgu4 24" xfId="1623" xr:uid="{5E821F52-AC01-460A-9FB2-2ADDCF590499}"/>
    <cellStyle name="Vurgu4 25" xfId="1624" xr:uid="{BF3200ED-3765-4A8D-B858-AE4EB2D1548A}"/>
    <cellStyle name="Vurgu4 3" xfId="1625" xr:uid="{6B20FE2A-5861-4F62-8903-EFEA3203B734}"/>
    <cellStyle name="Vurgu4 4" xfId="1626" xr:uid="{C8E1B019-53CD-4A1C-A68D-EC6C80C3EAA1}"/>
    <cellStyle name="Vurgu4 5" xfId="1627" xr:uid="{ECF4F3DE-38C5-4F55-BBCF-41FDBAE113A2}"/>
    <cellStyle name="Vurgu4 6" xfId="1628" xr:uid="{5A8785D1-1630-443E-9B74-F81C813F431D}"/>
    <cellStyle name="Vurgu4 7" xfId="1629" xr:uid="{114E427E-298E-46AE-8714-CF36A8A090C2}"/>
    <cellStyle name="Vurgu4 8" xfId="1630" xr:uid="{C6C8886B-08A0-429F-A936-9F8C7A3D8255}"/>
    <cellStyle name="Vurgu4 9" xfId="1631" xr:uid="{5977A955-D0B2-4B90-AC70-787B4438C119}"/>
    <cellStyle name="Vurgu5 10" xfId="1632" xr:uid="{5702B457-E1AF-44BA-A33B-BE61BFA438C8}"/>
    <cellStyle name="Vurgu5 11" xfId="1633" xr:uid="{B5A25982-CBD0-4E6A-B0AB-BB7557202412}"/>
    <cellStyle name="Vurgu5 12" xfId="1634" xr:uid="{1807DB7D-1B4D-4A3E-B88D-8D2973EC9BF4}"/>
    <cellStyle name="Vurgu5 13" xfId="1635" xr:uid="{804FE074-1395-42C3-8CA2-38E74DDF3D33}"/>
    <cellStyle name="Vurgu5 14" xfId="1636" xr:uid="{29B2D33E-0B4F-4C70-A699-AEE01E5E1A9C}"/>
    <cellStyle name="Vurgu5 15" xfId="1637" xr:uid="{827B87CC-B84F-445F-93A7-26AAC04F6270}"/>
    <cellStyle name="Vurgu5 16" xfId="1638" xr:uid="{BBDC73F4-0D8E-4707-B87C-DBF46ECCEE47}"/>
    <cellStyle name="Vurgu5 17" xfId="1639" xr:uid="{217DDED2-66E9-40FA-A03A-FA2DC3F2C529}"/>
    <cellStyle name="Vurgu5 18" xfId="1640" xr:uid="{DA4767EE-DD98-494B-BA2D-C2FCF2270A51}"/>
    <cellStyle name="Vurgu5 19" xfId="1641" xr:uid="{B1DC5245-7275-4913-A3AE-AD04097B980A}"/>
    <cellStyle name="Vurgu5 2" xfId="1642" xr:uid="{77DDD7DA-A478-44C2-8871-8B045F784C24}"/>
    <cellStyle name="Vurgu5 20" xfId="1643" xr:uid="{03A69523-E80F-4A4E-A23D-2FC40A4CEC85}"/>
    <cellStyle name="Vurgu5 21" xfId="1644" xr:uid="{F47EE6BB-9B29-404B-9893-33B2F1C9A2C4}"/>
    <cellStyle name="Vurgu5 22" xfId="1645" xr:uid="{550C5200-9E1A-466E-81DD-5CDDD8B3AF0D}"/>
    <cellStyle name="Vurgu5 23" xfId="1646" xr:uid="{805F1876-FD1B-489D-B142-DF404110FEC8}"/>
    <cellStyle name="Vurgu5 24" xfId="1647" xr:uid="{8CB6B573-9BE8-4DF5-AFCB-4385C1B2A4C7}"/>
    <cellStyle name="Vurgu5 25" xfId="1648" xr:uid="{3DCDC3B3-C24F-4CEC-AA25-2682C0D9B817}"/>
    <cellStyle name="Vurgu5 3" xfId="1649" xr:uid="{462F1E67-153D-4949-9E7F-FE9DED304E96}"/>
    <cellStyle name="Vurgu5 4" xfId="1650" xr:uid="{67D79519-9B97-4AA2-8FBE-FEE244A87D7F}"/>
    <cellStyle name="Vurgu5 5" xfId="1651" xr:uid="{74D24314-2C8F-4CD7-86A6-558248B8C772}"/>
    <cellStyle name="Vurgu5 6" xfId="1652" xr:uid="{9D296C35-518E-49FA-9F9C-FF1188E9F417}"/>
    <cellStyle name="Vurgu5 7" xfId="1653" xr:uid="{61C104C6-EF6B-4C5E-9180-612B61AA27EE}"/>
    <cellStyle name="Vurgu5 8" xfId="1654" xr:uid="{77A6C35E-9BAB-464A-9154-8E7FFB73AC00}"/>
    <cellStyle name="Vurgu5 9" xfId="1655" xr:uid="{18B5260B-C891-4F08-AA78-B3CA478F6C18}"/>
    <cellStyle name="Vurgu6 10" xfId="1656" xr:uid="{7D649C0E-9016-443C-A63B-C5085821513D}"/>
    <cellStyle name="Vurgu6 11" xfId="1657" xr:uid="{6B79248B-54D2-4DCA-9C61-DCADF2578079}"/>
    <cellStyle name="Vurgu6 12" xfId="1658" xr:uid="{E65A3C78-23C0-4116-8DF0-A67F67A6EF89}"/>
    <cellStyle name="Vurgu6 13" xfId="1659" xr:uid="{C6EC2ADF-2009-4F17-B6D3-EF9078BB045D}"/>
    <cellStyle name="Vurgu6 14" xfId="1660" xr:uid="{DFC124FF-008D-44A7-81B7-B0356978A1AC}"/>
    <cellStyle name="Vurgu6 15" xfId="1661" xr:uid="{13C231D9-C8EC-41FA-8055-F78438C4251A}"/>
    <cellStyle name="Vurgu6 16" xfId="1662" xr:uid="{4AC3D5C0-8A0E-4E7E-A4F3-332F511B062C}"/>
    <cellStyle name="Vurgu6 17" xfId="1663" xr:uid="{868C3402-A96F-4648-8F1E-9B9853198555}"/>
    <cellStyle name="Vurgu6 18" xfId="1664" xr:uid="{FB23A690-A0F9-4D71-83FA-46C8C54BC05E}"/>
    <cellStyle name="Vurgu6 19" xfId="1665" xr:uid="{CFFF4533-9ADF-4990-8EB0-5607EA7F14CC}"/>
    <cellStyle name="Vurgu6 2" xfId="1666" xr:uid="{EA01D01F-4507-47BC-90BB-6BA63DA91988}"/>
    <cellStyle name="Vurgu6 20" xfId="1667" xr:uid="{1BEE087F-BDB2-4A4B-9946-7EA2C8511345}"/>
    <cellStyle name="Vurgu6 21" xfId="1668" xr:uid="{CB90E36C-9CF2-4D5F-9D67-01BD818B1AB1}"/>
    <cellStyle name="Vurgu6 22" xfId="1669" xr:uid="{BA06ECFD-9224-4D58-8CAC-46DEB4F73C3A}"/>
    <cellStyle name="Vurgu6 23" xfId="1670" xr:uid="{9F3FD09F-6874-4D61-A299-7A2B1B92B761}"/>
    <cellStyle name="Vurgu6 24" xfId="1671" xr:uid="{7C51FCFA-77FC-4407-9CAB-0483D69BB391}"/>
    <cellStyle name="Vurgu6 25" xfId="1672" xr:uid="{12297F40-DE9F-434B-B3CE-0A0E6357F0B1}"/>
    <cellStyle name="Vurgu6 3" xfId="1673" xr:uid="{6C958F0D-C62F-458F-8CD2-090D0877C655}"/>
    <cellStyle name="Vurgu6 4" xfId="1674" xr:uid="{EB5C046F-7102-46E4-95E5-CACE80FB16D4}"/>
    <cellStyle name="Vurgu6 5" xfId="1675" xr:uid="{CC87044C-B23C-4C99-9BDF-2CFA9B391B94}"/>
    <cellStyle name="Vurgu6 6" xfId="1676" xr:uid="{F9777B8B-8264-443F-83A4-972443452C4A}"/>
    <cellStyle name="Vurgu6 7" xfId="1677" xr:uid="{53320378-6237-45D5-AB7B-219BBF7BFBB6}"/>
    <cellStyle name="Vurgu6 8" xfId="1678" xr:uid="{68DCAC96-4F70-48AD-9CB8-4D817C001299}"/>
    <cellStyle name="Vurgu6 9" xfId="1679" xr:uid="{C5F7C6F3-0CD7-40D7-9E2C-213777BE45C4}"/>
    <cellStyle name="Währung [0]_Compiling Utility Macros" xfId="1680" xr:uid="{5BCF8EC1-8F37-43A8-A96D-317FD13F3BCA}"/>
    <cellStyle name="Währung_Compiling Utility Macros" xfId="1681" xr:uid="{7B190EE3-3359-4129-9007-B9BE0B6318DF}"/>
    <cellStyle name="Warning Text" xfId="1682" xr:uid="{748A104D-BBA3-4FCA-8202-EC9A62FDDF68}"/>
    <cellStyle name="Yüzde 2" xfId="1683" xr:uid="{9E5D6052-5DA6-4ABF-87DB-A42D4607B74C}"/>
    <cellStyle name="Yüzde 2 3 2" xfId="1684" xr:uid="{13C4E52E-A6C6-4A2C-B3E3-0FB1CD63CCE7}"/>
    <cellStyle name="標準_J0023-BOQ-ELEC-1-P" xfId="1685" xr:uid="{8159A48B-E01E-4863-B44D-C3CF06EC57F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CC"/>
      <rgbColor rgb="0000FFFF"/>
      <rgbColor rgb="00800000"/>
      <rgbColor rgb="00008000"/>
      <rgbColor rgb="00000080"/>
      <rgbColor rgb="00808000"/>
      <rgbColor rgb="00800080"/>
      <rgbColor rgb="00008080"/>
      <rgbColor rgb="00C0C0C0"/>
      <rgbColor rgb="00808080"/>
      <rgbColor rgb="00BFBFBF"/>
      <rgbColor rgb="00FF3333"/>
      <rgbColor rgb="00FFFFCC"/>
      <rgbColor rgb="00CCFFFF"/>
      <rgbColor rgb="00660066"/>
      <rgbColor rgb="00FF8080"/>
      <rgbColor rgb="000066CC"/>
      <rgbColor rgb="00CCCCFF"/>
      <rgbColor rgb="00000080"/>
      <rgbColor rgb="00FF33FF"/>
      <rgbColor rgb="00DFDFDF"/>
      <rgbColor rgb="0000FFFF"/>
      <rgbColor rgb="00800080"/>
      <rgbColor rgb="00800000"/>
      <rgbColor rgb="00008080"/>
      <rgbColor rgb="000000FF"/>
      <rgbColor rgb="0000CCFF"/>
      <rgbColor rgb="00EFEFE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theme" Target="theme/theme1.xml"/><Relationship Id="rId8" Type="http://schemas.openxmlformats.org/officeDocument/2006/relationships/externalLink" Target="externalLinks/externalLink6.xml"/><Relationship Id="rId3"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usuf\D\metraj\K&#214;PR&#220;\10.b&#246;lge(trbzon)\kirremitli\kiremitli.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metraj%20form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emo.org.tr/resimler/ekler/8719f11fa2df991_ek.xls?tipi=34&amp;turu=X&amp;sube=0"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ystem\ortak\2-MEGAPOL%20DEVAM%20EDEN%20&#304;&#350;LER\FRESH%20CAKE\Freshcake%20Hakedi&#351;\1.Hakedi&#351;%20Freshcak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steo\c\marks&amp;spencer\ke&#351;if\ke&#351;if\EMA&#304;L-SABANCI.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meltek\c\My%20Documents\Emel2001TEKL&#304;FLER\BAUHAUS\KOU\F&#304;YA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ORTAK\_BYT_ENERGY\PROJELER\P22_360_MARPORT\BOYUT_CALISMALAR\2024_1.ETAP\&#304;HALE_DOSYASI\01_TAMAMLANANLAR\P16_164_CEZAYIR_KBF_HOTEL\BOYUT_CALISMALAR\IHALE%20DOSYASI\BAK\KESIF_OZETI-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e-pc13\c\T244%20IZMIR%20TEMSA%20BOLGE%20MUD\YAZISMA\T244-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urat\My%20Documents\WINDOWS\TEMP\Belgelerim\OSM.BS-01\O.T.%20701%20-%20800\TSM.Teklif-00\&#304;HLA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ORTAK\_BYT_ENERGY\PROJELER\P22_360_MARPORT\BOYUT_CALISMALAR\2024_1.ETAP\&#304;HALE_DOSYASI\01_TAMAMLANANLAR\P16_164_CEZAYIR_KBF_HOTEL\BOYUT_CALISMALAR\IHALE%20DOSYASI\BAK\HiPath3000FK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AYSEL11.7.2002\TASKENT\VILLA-G-23-10-2004\VILLA-G-23-101-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YUKSEL\IZMIRRAYLISISTEM18-02-2005\izmirraylisistem-18-02-20056istasyon.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edek\dedek%20belge\TEKL&#304;FLER\VESTEL%20BUZDOLABI%20TEKL&#304;F%201.%20ETA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Documents%20and%20Settings\savas\Desktop\bsra\Jordan%20Armed%20Forces%20V0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Tenders\204.171%20Kay&#305;%20Almaty%20Konut\Tender\Kay&#305;%20Almaty%20Konut%20V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Muharremcay\YAZILAB&#304;L&#304;R\TASHAKEDIS\ERYAMAN\HAK\ERIH.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KEBAN006\cengiz\ONDER\zambak\&#214;DEME\&#252;mraniye%20akofis\had&#305;mk&#246;y%20&#246;zdoku\C.K\TASHAKEDIS\ERYAMAN\HAK\ERIH.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aidosya1\BOLUMLER\Documents%20and%20Settings\t15188\Local%20Settings\Temporary%20Internet%20Files\Content.Outlook\30U4KQBZ\Tai260ke&#351;if%20toplam.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Yusuf\D\metraj\K&#214;PR&#220;\10.b&#246;lge(trbzon)\kirremitli\mescitli_yo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KEBAN006\cengiz\Belgelerim\osman\ISLER\DEVISLER\2002\TT071PERGE\Maliyetler\pano.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Documents%20and%20Settings\DEC%20USA\Desktop\agt%20Tender\AGT%20V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Ihsan\c\hedc99\Transfer%20Prices%20199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304;K&#304;TELL&#304;4-3\&#304;K&#304;TELL&#304;4-2\DB\DB1\GIM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Ypu116\paylas&#305;lan\KADIK&#214;Y\Melahat\6%20KE&#350;&#304;F%20TABLOLARI%20(BOQ)\YUKSEL\SIMEBLOK22-10-2004\EBLOK13-01-2005\EBLOKTEKLIFI13-01-2005\E%20blok13-01-2005t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e6\_byt_energy\PROJELER\TAMAMLANANLAR\P12_52_ITU_KIMYA\BOYUT_&#199;ALI&#350;MALAR\P12_52_ITU_KIMYA_FAK_ISIL_&#304;&#350;LEM_LAB_KESIF.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antl_elek_poz_listesi.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erver\ORTAK\Users\b03\Desktop\&#246;rnek_ihale_dosyalar&#305;\IHALE_DOSYASI\P14_125_MEV_SERIFALI\BOYUT_CALISMALAR\IHALE_DOSYASI\HiPath3000FK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rver\ortak\_BYT_ENERGY\PROJELER\TAMAMLANANLAR\P17_222_YTU_BILGI_ISLEM\BOYUT%20&#199;ALI&#350;MALAR\IHALE_DOSYASI\VER&#304;_MERKEZ&#304;\E_3_03_YTU_BTK_VER&#304;_MERKEZ&#304;_KE&#350;&#304;F%20-R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rver\ORTAK\Users\b03\Desktop\&#246;rnek_ihale_dosyalar&#305;\IHALE_DOSYASI\P14_125_MEV_SERIFALI\BOYUT_CALISMALAR\IHALE_DOSYASI\P14_125_MEV_SERIFALI_KESI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erver\ortak\_BYT_ENERGY\PROJELER\01_TAMAMLANANLAR\P18_233_ITU_OGRENCI_ISLERI\BOYUT_CALISMALAR\&#304;HALE%20DOSYASI\KESIF_LISTESI-R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e6\_byt_energy\PROJELER\TAMAMLANANLAR\P12_69_ITU_GSUYU_C1-C2_BLOK_WC\BOYUT_CALISMALAR\C1_BLOK\P12_69_ITU_GSUYU_C1_BLOK_WC_KESIF.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b1lt\hasanakgul\HB-DATA\PROJECALISMALARI\2007\METRO-MERTER\kesif\&#304;HALE-DOSYASI-kiler\KES&#304;F\KULE-20071111\istanbul%20sapphire-KULE%20kesif-200711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PAK"/>
      <sheetName val="rayıc"/>
      <sheetName val="KEŞİF"/>
      <sheetName val="METRAJ"/>
      <sheetName val="Y_MET1"/>
      <sheetName val="Y_MET2"/>
      <sheetName val="(ANALİZ_taş)"/>
      <sheetName val="analiz_cep_kap"/>
      <sheetName val="analiz_gen_derz"/>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 METRAJ"/>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şif_BB_"/>
      <sheetName val="BB_BF 2005"/>
      <sheetName val="Metraj cetveli"/>
      <sheetName val="Yeşil Defter"/>
      <sheetName val="İMALAT"/>
      <sheetName val="İHZARAT"/>
      <sheetName val="boş"/>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SHCAKE ELEK_ HAKEDİŞ"/>
      <sheetName val="İCMAL"/>
      <sheetName val="FRESHCAKE ELEK. HAKEDİŞ"/>
      <sheetName val="Metraj İcmali"/>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ti-teklif"/>
      <sheetName val="TEKLİF-1"/>
      <sheetName val="teklif"/>
      <sheetName val="analiz"/>
      <sheetName val="sorti-analiz"/>
      <sheetName val="sorti_teklif"/>
      <sheetName val="tenzilat kur"/>
      <sheetName val="verilen teklif"/>
      <sheetName val="analiz-2 son"/>
      <sheetName val="Sayfa1"/>
      <sheetName val="analiz-1 daha önceki"/>
      <sheetName val="MALİYET -2"/>
      <sheetName val="TEKLİF İST.FORMU GLOBAL"/>
      <sheetName val="TEKLİF İST.FORMU ARMATÜR (2)"/>
      <sheetName val="TEKLİF İST.FORMU PANO"/>
      <sheetName val="TEKLİF İST.FORMU ARMATÜR1"/>
      <sheetName val="TEKLİF İST.FORMU ARMATÜR"/>
      <sheetName val="TEKLİF İST.FORMU ANAHTAR PRİZ"/>
      <sheetName val="TEKLİF İST.FORMU KABLO"/>
      <sheetName val="TEKLİF İST.FORMU TAVA"/>
      <sheetName val="TEKLİF İST.FORMU ŞALT-2"/>
      <sheetName val="TEKLİF İST.FORMU ŞALT-1"/>
      <sheetName val="TEKLİF İST.FORMU DİMMER"/>
      <sheetName val="TEKLİF İST.FORMU UPS"/>
      <sheetName val="TEKLİF İST.FORMU PARAPET"/>
      <sheetName val="TEKLİF İST.FORMU GENERATÖR"/>
      <sheetName val="TEKLİF İST.FORMU TELEVİZYON"/>
      <sheetName val="TEKLİF İST.FORMU DATA"/>
      <sheetName val="TEKLİF İST.FORMU SESLENDİRME"/>
      <sheetName val="TEKLİF İCMALİ -2"/>
      <sheetName val="TEKLİF İST.FORMU TELEFON"/>
      <sheetName val="TEKLİF İST.FORMU YANGIN İHBAR"/>
      <sheetName val="MÜŞTERİYE VERİLEN TEKLİF"/>
      <sheetName val="MALİYET"/>
      <sheetName val="000000"/>
      <sheetName val="BİLGİ"/>
      <sheetName val="HK01 KAPAK"/>
      <sheetName val="İCMAL"/>
      <sheetName val="hakedis04 (KA)"/>
      <sheetName val="hakedis04 (ZA) "/>
      <sheetName val="YEŞİL DEFTER (KA)"/>
      <sheetName val="YEŞİL DEFTER (ZA) "/>
      <sheetName val="SATIS"/>
      <sheetName val="ANAHTAR SAYFA"/>
      <sheetName val="salter ve kablo secimi"/>
      <sheetName val="DATA"/>
      <sheetName val="tenzilat_kur"/>
      <sheetName val="verilen_teklif"/>
      <sheetName val="analiz-2_son"/>
      <sheetName val="analiz-1_daha_önceki"/>
      <sheetName val="MALİYET_-2"/>
      <sheetName val="TEKLİF_İST_FORMU_GLOBAL"/>
      <sheetName val="TEKLİF_İST_FORMU_ARMATÜR_(2)"/>
      <sheetName val="TEKLİF_İST_FORMU_PANO"/>
      <sheetName val="TEKLİF_İST_FORMU_ARMATÜR1"/>
      <sheetName val="TEKLİF_İST_FORMU_ARMATÜR"/>
      <sheetName val="TEKLİF_İST_FORMU_ANAHTAR_PRİZ"/>
      <sheetName val="TEKLİF_İST_FORMU_KABLO"/>
      <sheetName val="TEKLİF_İST_FORMU_TAVA"/>
      <sheetName val="TEKLİF_İST_FORMU_ŞALT-2"/>
      <sheetName val="TEKLİF_İST_FORMU_ŞALT-1"/>
      <sheetName val="TEKLİF_İST_FORMU_DİMMER"/>
      <sheetName val="TEKLİF_İST_FORMU_UPS"/>
      <sheetName val="TEKLİF_İST_FORMU_PARAPET"/>
      <sheetName val="TEKLİF_İST_FORMU_GENERATÖR"/>
      <sheetName val="TEKLİF_İST_FORMU_TELEVİZYON"/>
      <sheetName val="TEKLİF_İST_FORMU_DATA"/>
      <sheetName val="TEKLİF_İST_FORMU_SESLENDİRME"/>
      <sheetName val="TEKLİF_İCMALİ_-2"/>
      <sheetName val="TEKLİF_İST_FORMU_TELEFON"/>
      <sheetName val="TEKLİF_İST_FORMU_YANGIN_İHBAR"/>
      <sheetName val="MÜŞTERİYE_VERİLEN_TEKLİF"/>
      <sheetName val="HK01_KAPAK"/>
      <sheetName val="hakedis04_(KA)"/>
      <sheetName val="hakedis04_(ZA)_"/>
      <sheetName val="YEŞİL_DEFTER_(KA)"/>
      <sheetName val="YEŞİL_DEFTER_(ZA)_"/>
      <sheetName val="ANAHTAR_SAYFA"/>
      <sheetName val="Kur"/>
    </sheetNames>
    <sheetDataSet>
      <sheetData sheetId="0" refreshError="1">
        <row r="2">
          <cell r="P2">
            <v>1.1000000000000001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r"/>
      <sheetName val="Y.DAMPERİ"/>
      <sheetName val="AHU"/>
      <sheetName val="EF"/>
      <sheetName val="SERPANTIN"/>
      <sheetName val="CHILLER"/>
      <sheetName val="KANAL"/>
      <sheetName val="FCU"/>
      <sheetName val="KAZAN"/>
      <sheetName val="POMPA"/>
      <sheetName val="BACA"/>
      <sheetName val="G.DEPOSU"/>
      <sheetName val="NEMLENDİRİCİ"/>
      <sheetName val="#BAŞV"/>
      <sheetName val="#REF"/>
      <sheetName val="makro"/>
      <sheetName val="demi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LZ. MARKA LISTESI"/>
      <sheetName val="ICMAL"/>
      <sheetName val="Keşif"/>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Z (2)"/>
      <sheetName val="ANALİZ"/>
      <sheetName val="SATIS"/>
      <sheetName val="sorti-teklif"/>
    </sheetNames>
    <sheetDataSet>
      <sheetData sheetId="0" refreshError="1"/>
      <sheetData sheetId="1" refreshError="1"/>
      <sheetData sheetId="2" refreshError="1">
        <row r="6">
          <cell r="O6">
            <v>12391988.840000002</v>
          </cell>
        </row>
      </sheetData>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449"/>
      <sheetName val="117"/>
      <sheetName val="Kombi"/>
      <sheetName val="267"/>
      <sheetName val="316"/>
      <sheetName val="391"/>
      <sheetName val="Sheet1"/>
      <sheetName val="demir"/>
      <sheetName val="metin"/>
      <sheetName val="BUTCE+MANHO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Path3000"/>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R"/>
      <sheetName val="İCMAL"/>
      <sheetName val="BOYLER"/>
      <sheetName val="QSOĞ"/>
      <sheetName val="YÜKLER"/>
      <sheetName val="ISIKAYBI"/>
      <sheetName val="karşılaştırma"/>
      <sheetName val="BOQ"/>
    </sheetNames>
    <sheetDataSet>
      <sheetData sheetId="0" refreshError="1">
        <row r="1">
          <cell r="B1">
            <v>0.76038519225851187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ANALİZ"/>
      <sheetName val="icmal"/>
      <sheetName val="kur"/>
      <sheetName val="DÖKÜM"/>
      <sheetName val="karşılaş"/>
      <sheetName val="boq"/>
      <sheetName val="birimfiyat"/>
      <sheetName val="BİRİMFİYATREV"/>
      <sheetName val="Sayfa3"/>
    </sheetNames>
    <sheetDataSet>
      <sheetData sheetId="0" refreshError="1"/>
      <sheetData sheetId="1" refreshError="1"/>
      <sheetData sheetId="2" refreshError="1"/>
      <sheetData sheetId="3" refreshError="1">
        <row r="2">
          <cell r="C2">
            <v>1666800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TSAYI"/>
      <sheetName val="O.G. TESİSİ"/>
      <sheetName val="PANO ODASI"/>
      <sheetName val="TALI GÜÇ PANOSU"/>
      <sheetName val="BUSBAR"/>
      <sheetName val="AYDINLATMA"/>
      <sheetName val="PRİZ"/>
      <sheetName val="Paratoner"/>
      <sheetName val="ÇEVRE AYDINLATMA"/>
      <sheetName val="özet"/>
      <sheetName val="demir"/>
      <sheetName val="anlz icmal"/>
      <sheetName val="Marlboro OB2005 EUR"/>
      <sheetName val="AKİF"/>
      <sheetName val="O_G__TESİSİ"/>
      <sheetName val="PANO_ODASI"/>
      <sheetName val="TALI_GÜÇ_PANOSU"/>
      <sheetName val="ÇEVRE_AYDINLATMA"/>
      <sheetName val="anlz_icmal"/>
      <sheetName val="Marlboro_OB2005_EUR"/>
      <sheetName val="O_G__TESİSİ2"/>
      <sheetName val="PANO_ODASI2"/>
      <sheetName val="TALI_GÜÇ_PANOSU2"/>
      <sheetName val="ÇEVRE_AYDINLATMA2"/>
      <sheetName val="O_G__TESİSİ1"/>
      <sheetName val="PANO_ODASI1"/>
      <sheetName val="TALI_GÜÇ_PANOSU1"/>
      <sheetName val="ÇEVRE_AYDINLATMA1"/>
      <sheetName val="icmal1"/>
      <sheetName val="O_G__TESİSİ3"/>
      <sheetName val="PANO_ODASI3"/>
      <sheetName val="TALI_GÜÇ_PANOSU3"/>
      <sheetName val="ÇEVRE_AYDINLATMA3"/>
      <sheetName val="ZAYIF AKIM KESFI"/>
      <sheetName val="Siyah Fittings"/>
      <sheetName val="PAYMENT"/>
      <sheetName val="FORECAST"/>
      <sheetName val="KABA İNŞ"/>
      <sheetName val="359"/>
      <sheetName val="SÖZLEŞME İCMAL"/>
      <sheetName val="HESAP TAPLOSU"/>
      <sheetName val="İNŞAAT"/>
      <sheetName val="Sayfa1"/>
      <sheetName val="Data"/>
      <sheetName val="İŞ PROĞRAMI"/>
      <sheetName val="27.528-3(saten alçı)"/>
    </sheetNames>
    <sheetDataSet>
      <sheetData sheetId="0" refreshError="1">
        <row r="2">
          <cell r="B2" t="str">
            <v>VESTEL BUZDOLABI</v>
          </cell>
        </row>
        <row r="19">
          <cell r="D19">
            <v>0.23</v>
          </cell>
        </row>
        <row r="21">
          <cell r="D21">
            <v>0.28000000000000003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tsayi"/>
      <sheetName val="Analiz-dec"/>
      <sheetName val="BQ"/>
      <sheetName val="Pnolar"/>
      <sheetName val="OG"/>
      <sheetName val="Analiz_dec"/>
    </sheetNames>
    <sheetDataSet>
      <sheetData sheetId="0" refreshError="1"/>
      <sheetData sheetId="1" refreshError="1">
        <row r="98">
          <cell r="B98">
            <v>0.7</v>
          </cell>
        </row>
      </sheetData>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z"/>
      <sheetName val="Ticaret Merkezi+otopark+utility"/>
      <sheetName val="Konutlar"/>
      <sheetName val="Panolar Ticaret Mer."/>
      <sheetName val="Panolar Konut"/>
      <sheetName val="Yangın-O&amp;TM"/>
      <sheetName val="Kablolar-O&amp;TM"/>
      <sheetName val="GGT"/>
      <sheetName val="Sorumluluk Listesi"/>
      <sheetName val="İdari Şartlar"/>
      <sheetName val="Yangın-Konut"/>
      <sheetName val="Kablolar-Konut"/>
      <sheetName val="Konutlar-Önce"/>
      <sheetName val="Ticaret Merkezi+otopark-önce"/>
    </sheetNames>
    <sheetDataSet>
      <sheetData sheetId="0" refreshError="1">
        <row r="66">
          <cell r="F66">
            <v>22.155796378703521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l_onay"/>
      <sheetName val="imalat_icmal"/>
    </sheetNames>
    <sheetDataSet>
      <sheetData sheetId="0" refreshError="1">
        <row r="5">
          <cell r="C5" t="str">
            <v>ÖZEL 1/1</v>
          </cell>
          <cell r="D5" t="str">
            <v>AHŞAP KAPI KANADI</v>
          </cell>
          <cell r="E5" t="str">
            <v>ERAY</v>
          </cell>
          <cell r="F5">
            <v>34632</v>
          </cell>
          <cell r="G5" t="str">
            <v>DSH-112</v>
          </cell>
          <cell r="I5" t="str">
            <v>VAR</v>
          </cell>
          <cell r="J5" t="str">
            <v>m²</v>
          </cell>
          <cell r="K5">
            <v>960000</v>
          </cell>
          <cell r="L5">
            <v>0.7</v>
          </cell>
          <cell r="M5" t="str">
            <v>EVET</v>
          </cell>
          <cell r="N5" t="str">
            <v>ERAY</v>
          </cell>
          <cell r="P5">
            <v>522</v>
          </cell>
        </row>
        <row r="6">
          <cell r="C6" t="str">
            <v>ÖZEL 1/2</v>
          </cell>
          <cell r="D6" t="str">
            <v>AHŞAP PENCERE</v>
          </cell>
          <cell r="E6" t="str">
            <v>ERAY</v>
          </cell>
          <cell r="F6">
            <v>34632</v>
          </cell>
          <cell r="G6" t="str">
            <v>DSH-112</v>
          </cell>
          <cell r="I6" t="str">
            <v>VAR</v>
          </cell>
          <cell r="J6" t="str">
            <v>m²</v>
          </cell>
          <cell r="K6">
            <v>2420000</v>
          </cell>
          <cell r="L6">
            <v>0.7</v>
          </cell>
          <cell r="M6" t="str">
            <v>EVET</v>
          </cell>
          <cell r="N6" t="str">
            <v>ERAY</v>
          </cell>
          <cell r="P6">
            <v>521</v>
          </cell>
        </row>
        <row r="7">
          <cell r="C7" t="str">
            <v>ÖZEL 10</v>
          </cell>
          <cell r="D7" t="str">
            <v>FASARİT</v>
          </cell>
          <cell r="E7" t="str">
            <v>HALİMOĞLU</v>
          </cell>
          <cell r="F7">
            <v>34688</v>
          </cell>
          <cell r="G7" t="str">
            <v>DSH-349</v>
          </cell>
          <cell r="I7" t="str">
            <v>HAYIR</v>
          </cell>
          <cell r="J7" t="str">
            <v>kg</v>
          </cell>
          <cell r="K7">
            <v>30000</v>
          </cell>
          <cell r="L7">
            <v>0.7</v>
          </cell>
          <cell r="M7" t="str">
            <v>EVET</v>
          </cell>
          <cell r="N7" t="str">
            <v>HALİMOĞLU</v>
          </cell>
          <cell r="P7">
            <v>903</v>
          </cell>
        </row>
        <row r="8">
          <cell r="C8" t="str">
            <v>ÖZEL 2</v>
          </cell>
          <cell r="D8" t="str">
            <v>ALÇIPAN</v>
          </cell>
          <cell r="E8" t="str">
            <v>BİLTEPE</v>
          </cell>
          <cell r="F8">
            <v>34659</v>
          </cell>
          <cell r="G8" t="str">
            <v>DSH-233</v>
          </cell>
          <cell r="I8" t="str">
            <v>VAR</v>
          </cell>
          <cell r="J8" t="str">
            <v>m²</v>
          </cell>
          <cell r="K8">
            <v>110000</v>
          </cell>
          <cell r="L8">
            <v>0.7</v>
          </cell>
          <cell r="M8" t="str">
            <v>EVET</v>
          </cell>
          <cell r="N8" t="str">
            <v>BİLTEPE</v>
          </cell>
          <cell r="P8">
            <v>322</v>
          </cell>
        </row>
        <row r="9">
          <cell r="C9" t="str">
            <v>ÖZEL 2</v>
          </cell>
          <cell r="D9" t="str">
            <v>ALÇIPAN</v>
          </cell>
          <cell r="E9" t="str">
            <v>BİLTEPE</v>
          </cell>
          <cell r="F9">
            <v>34659</v>
          </cell>
          <cell r="G9" t="str">
            <v>DSH-233</v>
          </cell>
          <cell r="I9" t="str">
            <v>HAYIR</v>
          </cell>
          <cell r="J9" t="str">
            <v>m²</v>
          </cell>
          <cell r="K9">
            <v>110000</v>
          </cell>
          <cell r="L9">
            <v>0.7</v>
          </cell>
          <cell r="M9" t="str">
            <v>EVET</v>
          </cell>
          <cell r="N9" t="str">
            <v>BİLTEPE</v>
          </cell>
          <cell r="P9">
            <v>322</v>
          </cell>
        </row>
        <row r="10">
          <cell r="C10" t="str">
            <v>ÖZEL 4</v>
          </cell>
          <cell r="D10" t="str">
            <v>DRENFLEX</v>
          </cell>
          <cell r="E10" t="str">
            <v>EGEPLAST</v>
          </cell>
          <cell r="F10">
            <v>34659</v>
          </cell>
          <cell r="G10" t="str">
            <v>DSH-238/1</v>
          </cell>
          <cell r="I10" t="str">
            <v>HAYIR</v>
          </cell>
          <cell r="J10" t="str">
            <v>mt</v>
          </cell>
          <cell r="K10">
            <v>116780</v>
          </cell>
          <cell r="L10">
            <v>0.7</v>
          </cell>
          <cell r="M10" t="str">
            <v>EVET</v>
          </cell>
          <cell r="N10" t="str">
            <v>EGEPLAST</v>
          </cell>
          <cell r="P10">
            <v>133</v>
          </cell>
        </row>
        <row r="11">
          <cell r="C11" t="str">
            <v>ÖZEL 5</v>
          </cell>
          <cell r="D11" t="str">
            <v>KAPİLER ESASLI SU YALITIMI</v>
          </cell>
          <cell r="E11" t="str">
            <v>KAPİLERİN</v>
          </cell>
          <cell r="F11">
            <v>34683</v>
          </cell>
          <cell r="G11" t="str">
            <v>DSH-312</v>
          </cell>
          <cell r="I11" t="str">
            <v>HAYIR</v>
          </cell>
          <cell r="J11" t="str">
            <v>kg</v>
          </cell>
          <cell r="K11">
            <v>150000</v>
          </cell>
          <cell r="L11">
            <v>0.7</v>
          </cell>
          <cell r="M11" t="str">
            <v>EVET</v>
          </cell>
          <cell r="N11" t="str">
            <v>KAPİLERİN</v>
          </cell>
          <cell r="P11">
            <v>133</v>
          </cell>
        </row>
        <row r="12">
          <cell r="C12" t="str">
            <v>ÖZEL 6/1</v>
          </cell>
          <cell r="D12" t="str">
            <v>MUTFAK DOLABI</v>
          </cell>
          <cell r="E12" t="str">
            <v>MOPAŞ</v>
          </cell>
          <cell r="F12">
            <v>34632</v>
          </cell>
          <cell r="G12" t="str">
            <v>DSH-112</v>
          </cell>
          <cell r="I12" t="str">
            <v>VAR</v>
          </cell>
          <cell r="J12" t="str">
            <v>m²</v>
          </cell>
          <cell r="K12">
            <v>5380000</v>
          </cell>
          <cell r="L12">
            <v>0.7</v>
          </cell>
          <cell r="M12" t="str">
            <v>EVET</v>
          </cell>
          <cell r="N12" t="str">
            <v>MOPAŞ</v>
          </cell>
          <cell r="P12">
            <v>1201</v>
          </cell>
        </row>
        <row r="13">
          <cell r="C13" t="str">
            <v>ÖZEL 6/2</v>
          </cell>
          <cell r="D13" t="str">
            <v>MUTFAK TEZGAHI</v>
          </cell>
          <cell r="E13" t="str">
            <v>MOPAŞ</v>
          </cell>
          <cell r="F13">
            <v>34632</v>
          </cell>
          <cell r="G13" t="str">
            <v>DSH-112</v>
          </cell>
          <cell r="I13" t="str">
            <v>VAR</v>
          </cell>
          <cell r="J13" t="str">
            <v>m²</v>
          </cell>
          <cell r="K13">
            <v>2250000</v>
          </cell>
          <cell r="L13">
            <v>0.7</v>
          </cell>
          <cell r="M13" t="str">
            <v>EVET</v>
          </cell>
          <cell r="N13" t="str">
            <v>MOPAŞ</v>
          </cell>
          <cell r="P13">
            <v>1201</v>
          </cell>
        </row>
        <row r="14">
          <cell r="C14" t="str">
            <v>ÖZEL 7</v>
          </cell>
          <cell r="D14" t="str">
            <v>TÜNELKALIP</v>
          </cell>
          <cell r="E14" t="str">
            <v>RANT</v>
          </cell>
          <cell r="F14">
            <v>34659</v>
          </cell>
          <cell r="G14" t="str">
            <v>DSH-238/2</v>
          </cell>
          <cell r="H14">
            <v>123</v>
          </cell>
          <cell r="I14" t="str">
            <v>HAYIR</v>
          </cell>
          <cell r="J14" t="str">
            <v>m²</v>
          </cell>
          <cell r="K14">
            <v>8500000</v>
          </cell>
          <cell r="L14">
            <v>0.7</v>
          </cell>
          <cell r="M14" t="str">
            <v>EVET</v>
          </cell>
          <cell r="N14" t="str">
            <v>RANT</v>
          </cell>
          <cell r="P14">
            <v>200</v>
          </cell>
        </row>
        <row r="15">
          <cell r="C15" t="str">
            <v>ÖZEL 8/1</v>
          </cell>
          <cell r="D15" t="str">
            <v>İNTERKOM SANTRALİ</v>
          </cell>
          <cell r="E15" t="str">
            <v>DİZAYN</v>
          </cell>
          <cell r="F15">
            <v>34655</v>
          </cell>
          <cell r="G15" t="str">
            <v>DSH-228</v>
          </cell>
          <cell r="I15" t="str">
            <v>HAYIR</v>
          </cell>
          <cell r="J15" t="str">
            <v>ad</v>
          </cell>
          <cell r="K15">
            <v>3450000</v>
          </cell>
          <cell r="L15">
            <v>0.7</v>
          </cell>
          <cell r="M15" t="str">
            <v>EVET</v>
          </cell>
          <cell r="N15" t="str">
            <v>DİZAYN</v>
          </cell>
          <cell r="P15">
            <v>1421</v>
          </cell>
        </row>
        <row r="16">
          <cell r="C16" t="str">
            <v>ÖZEL 8/10</v>
          </cell>
          <cell r="D16" t="str">
            <v>KASET KIZAĞI</v>
          </cell>
          <cell r="E16" t="str">
            <v>TAMGÖR</v>
          </cell>
          <cell r="F16">
            <v>34655</v>
          </cell>
          <cell r="G16" t="str">
            <v>DSH-228</v>
          </cell>
          <cell r="I16" t="str">
            <v>HAYIR</v>
          </cell>
          <cell r="J16" t="str">
            <v>ad</v>
          </cell>
          <cell r="K16">
            <v>195000</v>
          </cell>
          <cell r="L16">
            <v>0.7</v>
          </cell>
          <cell r="M16" t="str">
            <v>EVET</v>
          </cell>
          <cell r="N16" t="str">
            <v>TAMGÖR</v>
          </cell>
          <cell r="P16">
            <v>1621</v>
          </cell>
        </row>
        <row r="17">
          <cell r="C17" t="str">
            <v>ÖZEL 8/11</v>
          </cell>
          <cell r="D17" t="str">
            <v>1/2 TV BUATI</v>
          </cell>
          <cell r="E17" t="str">
            <v>TAMGÖR</v>
          </cell>
          <cell r="F17">
            <v>34655</v>
          </cell>
          <cell r="G17" t="str">
            <v>DSH-228</v>
          </cell>
          <cell r="I17" t="str">
            <v>HAYIR</v>
          </cell>
          <cell r="J17" t="str">
            <v>ad</v>
          </cell>
          <cell r="K17">
            <v>140000</v>
          </cell>
          <cell r="L17">
            <v>0.7</v>
          </cell>
          <cell r="M17" t="str">
            <v>EVET</v>
          </cell>
          <cell r="N17" t="str">
            <v>TAMGÖR</v>
          </cell>
          <cell r="P17">
            <v>1621</v>
          </cell>
        </row>
        <row r="18">
          <cell r="C18" t="str">
            <v>ÖZEL 8/12</v>
          </cell>
          <cell r="D18" t="str">
            <v>1/3 TV BUATI</v>
          </cell>
          <cell r="E18" t="str">
            <v>TAMGÖR</v>
          </cell>
          <cell r="F18">
            <v>34655</v>
          </cell>
          <cell r="G18" t="str">
            <v>DSH-228</v>
          </cell>
          <cell r="I18" t="str">
            <v>HAYIR</v>
          </cell>
          <cell r="J18" t="str">
            <v>ad</v>
          </cell>
          <cell r="K18">
            <v>160000</v>
          </cell>
          <cell r="L18">
            <v>0.7</v>
          </cell>
          <cell r="M18" t="str">
            <v>EVET</v>
          </cell>
          <cell r="N18" t="str">
            <v>TAMGÖR</v>
          </cell>
          <cell r="P18">
            <v>1621</v>
          </cell>
        </row>
        <row r="19">
          <cell r="C19" t="str">
            <v>ÖZEL 8/13</v>
          </cell>
          <cell r="D19" t="str">
            <v>1/8 TV BUATI</v>
          </cell>
          <cell r="E19" t="str">
            <v>TAMGÖR</v>
          </cell>
          <cell r="F19">
            <v>34655</v>
          </cell>
          <cell r="G19" t="str">
            <v>DSH-228</v>
          </cell>
          <cell r="I19" t="str">
            <v>HAYIR</v>
          </cell>
          <cell r="J19" t="str">
            <v>ad</v>
          </cell>
          <cell r="K19">
            <v>225000</v>
          </cell>
          <cell r="L19">
            <v>0.7</v>
          </cell>
          <cell r="M19" t="str">
            <v>EVET</v>
          </cell>
          <cell r="N19" t="str">
            <v>TAMGÖR</v>
          </cell>
          <cell r="P19">
            <v>1621</v>
          </cell>
        </row>
        <row r="20">
          <cell r="C20" t="str">
            <v>ÖZEL 8/14</v>
          </cell>
          <cell r="D20" t="str">
            <v>TV UHF KASET</v>
          </cell>
          <cell r="E20" t="str">
            <v>TAMGÖR</v>
          </cell>
          <cell r="F20">
            <v>34655</v>
          </cell>
          <cell r="G20" t="str">
            <v>DSH-228</v>
          </cell>
          <cell r="I20" t="str">
            <v>HAYIR</v>
          </cell>
          <cell r="J20" t="str">
            <v>ad</v>
          </cell>
          <cell r="K20">
            <v>650000</v>
          </cell>
          <cell r="L20">
            <v>0.7</v>
          </cell>
          <cell r="M20" t="str">
            <v>EVET</v>
          </cell>
          <cell r="N20" t="str">
            <v>TAMGÖR</v>
          </cell>
          <cell r="P20">
            <v>1621</v>
          </cell>
        </row>
        <row r="21">
          <cell r="C21" t="str">
            <v>ÖZEL 8/15</v>
          </cell>
          <cell r="D21" t="str">
            <v>TV VHF KASET</v>
          </cell>
          <cell r="E21" t="str">
            <v>TAMGÖR</v>
          </cell>
          <cell r="F21">
            <v>34655</v>
          </cell>
          <cell r="G21" t="str">
            <v>DSH-228</v>
          </cell>
          <cell r="I21" t="str">
            <v>HAYIR</v>
          </cell>
          <cell r="J21" t="str">
            <v>ad</v>
          </cell>
          <cell r="K21">
            <v>650000</v>
          </cell>
          <cell r="L21">
            <v>0.7</v>
          </cell>
          <cell r="M21" t="str">
            <v>EVET</v>
          </cell>
          <cell r="N21" t="str">
            <v>TAMGÖR</v>
          </cell>
          <cell r="P21">
            <v>1621</v>
          </cell>
        </row>
        <row r="22">
          <cell r="C22" t="str">
            <v>ÖZEL 8/2</v>
          </cell>
          <cell r="D22" t="str">
            <v>İNTERKOM DAİRE ÜNİTESİ</v>
          </cell>
          <cell r="E22" t="str">
            <v>DİZAYN</v>
          </cell>
          <cell r="F22">
            <v>34655</v>
          </cell>
          <cell r="G22" t="str">
            <v>DSH-228</v>
          </cell>
          <cell r="I22" t="str">
            <v>HAYIR</v>
          </cell>
          <cell r="J22" t="str">
            <v>ad</v>
          </cell>
          <cell r="K22">
            <v>850000</v>
          </cell>
          <cell r="L22">
            <v>0.7</v>
          </cell>
          <cell r="M22" t="str">
            <v>EVET</v>
          </cell>
          <cell r="N22" t="str">
            <v>DİZAYN</v>
          </cell>
          <cell r="P22">
            <v>1421</v>
          </cell>
        </row>
        <row r="23">
          <cell r="C23" t="str">
            <v>ÖZEL 8/3</v>
          </cell>
          <cell r="D23" t="str">
            <v>İNTERKOM ZİL PANELİ</v>
          </cell>
          <cell r="E23" t="str">
            <v>DİZAYN</v>
          </cell>
          <cell r="F23">
            <v>34655</v>
          </cell>
          <cell r="G23" t="str">
            <v>DSH-228</v>
          </cell>
          <cell r="I23" t="str">
            <v>HAYIR</v>
          </cell>
          <cell r="J23" t="str">
            <v>ad</v>
          </cell>
          <cell r="K23">
            <v>1650000</v>
          </cell>
          <cell r="L23">
            <v>0.7</v>
          </cell>
          <cell r="M23" t="str">
            <v>EVET</v>
          </cell>
          <cell r="N23" t="str">
            <v>DİZAYN</v>
          </cell>
          <cell r="P23">
            <v>1421</v>
          </cell>
        </row>
        <row r="24">
          <cell r="C24" t="str">
            <v>ÖZEL 8/4</v>
          </cell>
          <cell r="D24" t="str">
            <v>İNTERKOM KABLOSU</v>
          </cell>
          <cell r="E24" t="str">
            <v>BİRTAŞ</v>
          </cell>
          <cell r="F24">
            <v>34655</v>
          </cell>
          <cell r="G24" t="str">
            <v>DSH-228</v>
          </cell>
          <cell r="I24" t="str">
            <v>HAYIR</v>
          </cell>
          <cell r="J24" t="str">
            <v>mt</v>
          </cell>
          <cell r="K24">
            <v>16500</v>
          </cell>
          <cell r="L24">
            <v>0.7</v>
          </cell>
          <cell r="M24" t="str">
            <v>EVET</v>
          </cell>
          <cell r="N24" t="str">
            <v>BİRTAŞ</v>
          </cell>
          <cell r="P24">
            <v>1411</v>
          </cell>
        </row>
        <row r="25">
          <cell r="C25" t="str">
            <v>ÖZEL 8/5</v>
          </cell>
          <cell r="D25" t="str">
            <v>KAÇAK AKIM RÖLESİ</v>
          </cell>
          <cell r="E25" t="str">
            <v>MERLİN GERİN</v>
          </cell>
          <cell r="F25">
            <v>34655</v>
          </cell>
          <cell r="G25" t="str">
            <v>DSH-228</v>
          </cell>
          <cell r="I25" t="str">
            <v>HAYIR</v>
          </cell>
          <cell r="J25" t="str">
            <v>ad</v>
          </cell>
          <cell r="K25">
            <v>2493000</v>
          </cell>
          <cell r="L25">
            <v>0.7</v>
          </cell>
          <cell r="M25" t="str">
            <v>EVET</v>
          </cell>
          <cell r="N25" t="str">
            <v>MERLİN GERİN</v>
          </cell>
          <cell r="P25">
            <v>1131</v>
          </cell>
        </row>
        <row r="26">
          <cell r="C26" t="str">
            <v>ÖZEL 8/6</v>
          </cell>
          <cell r="D26" t="str">
            <v>TV KABLOSU</v>
          </cell>
          <cell r="E26" t="str">
            <v>KLAS</v>
          </cell>
          <cell r="F26">
            <v>34655</v>
          </cell>
          <cell r="G26" t="str">
            <v>DSH-228</v>
          </cell>
          <cell r="I26" t="str">
            <v>HAYIR</v>
          </cell>
          <cell r="J26" t="str">
            <v>mt</v>
          </cell>
          <cell r="K26">
            <v>15500</v>
          </cell>
          <cell r="L26">
            <v>0.7</v>
          </cell>
          <cell r="M26" t="str">
            <v>EVET</v>
          </cell>
          <cell r="N26" t="str">
            <v>KLAS</v>
          </cell>
          <cell r="P26">
            <v>1611</v>
          </cell>
        </row>
        <row r="27">
          <cell r="C27" t="str">
            <v>ÖZEL 8/7</v>
          </cell>
          <cell r="D27" t="str">
            <v>TV YAYIN BESLEME ÜNİTESİ</v>
          </cell>
          <cell r="E27" t="str">
            <v>TAMGÖR</v>
          </cell>
          <cell r="F27">
            <v>34655</v>
          </cell>
          <cell r="G27" t="str">
            <v>DSH-228</v>
          </cell>
          <cell r="I27" t="str">
            <v>HAYIR</v>
          </cell>
          <cell r="J27" t="str">
            <v>ad</v>
          </cell>
          <cell r="K27">
            <v>825000</v>
          </cell>
          <cell r="L27">
            <v>0.7</v>
          </cell>
          <cell r="M27" t="str">
            <v>EVET</v>
          </cell>
          <cell r="N27" t="str">
            <v>TAMGÖR</v>
          </cell>
          <cell r="P27">
            <v>1621</v>
          </cell>
        </row>
        <row r="28">
          <cell r="C28" t="str">
            <v>ÖZEL 8/8</v>
          </cell>
          <cell r="D28" t="str">
            <v>TV YAYIN BOOSTER`I</v>
          </cell>
          <cell r="E28" t="str">
            <v>TAMGÖR</v>
          </cell>
          <cell r="F28">
            <v>34655</v>
          </cell>
          <cell r="G28" t="str">
            <v>DSH-228</v>
          </cell>
          <cell r="I28" t="str">
            <v>HAYIR</v>
          </cell>
          <cell r="J28" t="str">
            <v>ad</v>
          </cell>
          <cell r="K28">
            <v>800000</v>
          </cell>
          <cell r="L28">
            <v>0.7</v>
          </cell>
          <cell r="M28" t="str">
            <v>EVET</v>
          </cell>
          <cell r="N28" t="str">
            <v>TAMGÖR</v>
          </cell>
          <cell r="P28">
            <v>1621</v>
          </cell>
        </row>
        <row r="29">
          <cell r="C29" t="str">
            <v>ÖZEL 8/9</v>
          </cell>
          <cell r="D29" t="str">
            <v>TV JAKI</v>
          </cell>
          <cell r="E29" t="str">
            <v>TAMGÖR</v>
          </cell>
          <cell r="F29">
            <v>34655</v>
          </cell>
          <cell r="G29" t="str">
            <v>DSH-228</v>
          </cell>
          <cell r="I29" t="str">
            <v>HAYIR</v>
          </cell>
          <cell r="J29" t="str">
            <v>ad</v>
          </cell>
          <cell r="K29">
            <v>12500</v>
          </cell>
          <cell r="L29">
            <v>0.7</v>
          </cell>
          <cell r="M29" t="str">
            <v>EVET</v>
          </cell>
          <cell r="N29" t="str">
            <v>TAMGÖR</v>
          </cell>
          <cell r="P29">
            <v>1621</v>
          </cell>
        </row>
        <row r="30">
          <cell r="C30" t="str">
            <v>ÖZEL 9</v>
          </cell>
          <cell r="D30" t="str">
            <v>BANYO + WC HAV. MENFEZİ</v>
          </cell>
          <cell r="E30" t="str">
            <v>ASSAN-ERTES</v>
          </cell>
          <cell r="F30">
            <v>34764</v>
          </cell>
          <cell r="G30" t="str">
            <v>DSH-208/95</v>
          </cell>
          <cell r="I30" t="str">
            <v>HAYIR</v>
          </cell>
          <cell r="J30" t="str">
            <v>ad</v>
          </cell>
          <cell r="K30">
            <v>1000000</v>
          </cell>
          <cell r="L30">
            <v>0.7</v>
          </cell>
          <cell r="M30" t="str">
            <v>EVET</v>
          </cell>
          <cell r="N30" t="str">
            <v>ASSAN-ERTES</v>
          </cell>
          <cell r="P30">
            <v>1053</v>
          </cell>
        </row>
        <row r="31">
          <cell r="C31" t="str">
            <v>04.003/C</v>
          </cell>
          <cell r="D31" t="str">
            <v>ÇAKIL</v>
          </cell>
          <cell r="E31" t="str">
            <v>DİYARBAKIR</v>
          </cell>
          <cell r="F31">
            <v>34700</v>
          </cell>
          <cell r="G31" t="str">
            <v>DSH-02</v>
          </cell>
          <cell r="I31" t="str">
            <v>HAYIR</v>
          </cell>
          <cell r="J31" t="str">
            <v>m³</v>
          </cell>
          <cell r="K31">
            <v>99613</v>
          </cell>
          <cell r="L31">
            <v>1</v>
          </cell>
          <cell r="P31">
            <v>200</v>
          </cell>
        </row>
        <row r="32">
          <cell r="C32" t="str">
            <v>04.006/C</v>
          </cell>
          <cell r="D32" t="str">
            <v>KUM</v>
          </cell>
          <cell r="E32" t="str">
            <v>DİYARBAKIR</v>
          </cell>
          <cell r="F32">
            <v>34700</v>
          </cell>
          <cell r="G32" t="str">
            <v>DSH-02</v>
          </cell>
          <cell r="I32" t="str">
            <v>HAYIR</v>
          </cell>
          <cell r="J32" t="str">
            <v>m³</v>
          </cell>
          <cell r="K32">
            <v>86506</v>
          </cell>
          <cell r="L32">
            <v>1</v>
          </cell>
          <cell r="P32">
            <v>200</v>
          </cell>
        </row>
        <row r="33">
          <cell r="C33" t="str">
            <v>04.018/B</v>
          </cell>
          <cell r="D33" t="str">
            <v>TUĞLA  (8,5 luk)</v>
          </cell>
          <cell r="E33" t="str">
            <v>DİYARBAKIR</v>
          </cell>
          <cell r="F33">
            <v>34659</v>
          </cell>
          <cell r="G33" t="str">
            <v>DSH-238/2</v>
          </cell>
          <cell r="I33" t="str">
            <v>HAYIR</v>
          </cell>
          <cell r="J33" t="str">
            <v>ad</v>
          </cell>
          <cell r="K33">
            <v>875</v>
          </cell>
          <cell r="L33">
            <v>1</v>
          </cell>
          <cell r="M33" t="str">
            <v>EVET</v>
          </cell>
          <cell r="N33" t="str">
            <v>DİYARBAKIR</v>
          </cell>
          <cell r="P33">
            <v>311</v>
          </cell>
        </row>
        <row r="34">
          <cell r="C34" t="str">
            <v>04.018/C</v>
          </cell>
          <cell r="D34" t="str">
            <v>TUĞLA  (13.5 luk)</v>
          </cell>
          <cell r="E34" t="str">
            <v>DİYARBAKIR</v>
          </cell>
          <cell r="F34">
            <v>34659</v>
          </cell>
          <cell r="G34" t="str">
            <v>DSH-238/2</v>
          </cell>
          <cell r="I34" t="str">
            <v>HAYIR</v>
          </cell>
          <cell r="J34" t="str">
            <v>ad</v>
          </cell>
          <cell r="K34">
            <v>1040</v>
          </cell>
          <cell r="L34">
            <v>1</v>
          </cell>
          <cell r="M34" t="str">
            <v>EVET</v>
          </cell>
          <cell r="N34" t="str">
            <v>DİYARBAKIR</v>
          </cell>
          <cell r="P34">
            <v>311</v>
          </cell>
        </row>
        <row r="35">
          <cell r="C35" t="str">
            <v>04.026</v>
          </cell>
          <cell r="D35" t="str">
            <v>KİREMİT (oluklu)</v>
          </cell>
          <cell r="E35" t="str">
            <v>HAZAR</v>
          </cell>
          <cell r="F35">
            <v>34659</v>
          </cell>
          <cell r="G35" t="str">
            <v>DSH-238/2</v>
          </cell>
          <cell r="I35" t="str">
            <v>HAYIR</v>
          </cell>
          <cell r="J35" t="str">
            <v>ad</v>
          </cell>
          <cell r="K35">
            <v>2450</v>
          </cell>
          <cell r="L35">
            <v>1</v>
          </cell>
          <cell r="M35" t="str">
            <v>EVET</v>
          </cell>
          <cell r="N35" t="str">
            <v>HAZAR</v>
          </cell>
          <cell r="P35">
            <v>401</v>
          </cell>
        </row>
        <row r="36">
          <cell r="C36" t="str">
            <v>04.028</v>
          </cell>
          <cell r="D36" t="str">
            <v>KİREMİT (mahya)</v>
          </cell>
          <cell r="E36" t="str">
            <v>HAZAR</v>
          </cell>
          <cell r="F36">
            <v>34659</v>
          </cell>
          <cell r="G36" t="str">
            <v>DSH-238/2</v>
          </cell>
          <cell r="I36" t="str">
            <v>HAYIR</v>
          </cell>
          <cell r="J36" t="str">
            <v>ad</v>
          </cell>
          <cell r="K36">
            <v>2590</v>
          </cell>
          <cell r="L36">
            <v>1</v>
          </cell>
          <cell r="M36" t="str">
            <v>EVET</v>
          </cell>
          <cell r="N36" t="str">
            <v>HAZAR</v>
          </cell>
          <cell r="P36">
            <v>401</v>
          </cell>
        </row>
        <row r="37">
          <cell r="C37" t="str">
            <v>04.254</v>
          </cell>
          <cell r="D37" t="str">
            <v>NERVÜRLÜ İNŞ.DEMİRİ</v>
          </cell>
          <cell r="E37" t="str">
            <v>İSKENDERUN</v>
          </cell>
          <cell r="F37">
            <v>34700</v>
          </cell>
          <cell r="G37" t="str">
            <v>DSH-02</v>
          </cell>
          <cell r="I37" t="str">
            <v>HAYIR</v>
          </cell>
          <cell r="J37" t="str">
            <v>kg</v>
          </cell>
          <cell r="K37">
            <v>4186</v>
          </cell>
          <cell r="L37">
            <v>1</v>
          </cell>
        </row>
        <row r="38">
          <cell r="C38" t="str">
            <v>04.263</v>
          </cell>
          <cell r="D38" t="str">
            <v>ÇİNKO</v>
          </cell>
          <cell r="E38" t="str">
            <v>EKMEKÇİOĞULLARI</v>
          </cell>
          <cell r="F38">
            <v>34659</v>
          </cell>
          <cell r="G38" t="str">
            <v>DSH-238/1</v>
          </cell>
          <cell r="I38" t="str">
            <v>HAYIR</v>
          </cell>
          <cell r="J38" t="str">
            <v>kg</v>
          </cell>
          <cell r="K38">
            <v>25750</v>
          </cell>
          <cell r="L38">
            <v>1</v>
          </cell>
          <cell r="M38" t="str">
            <v>EVET</v>
          </cell>
          <cell r="N38" t="str">
            <v>EKMEKÇİOĞULLARI</v>
          </cell>
          <cell r="P38">
            <v>401</v>
          </cell>
        </row>
        <row r="39">
          <cell r="C39" t="str">
            <v>04.291/8</v>
          </cell>
          <cell r="D39" t="str">
            <v>BORU</v>
          </cell>
          <cell r="E39" t="str">
            <v>MANNESMAN</v>
          </cell>
          <cell r="F39">
            <v>34633</v>
          </cell>
          <cell r="G39" t="str">
            <v>DSH-114</v>
          </cell>
          <cell r="I39" t="str">
            <v>HAYIR</v>
          </cell>
          <cell r="J39" t="str">
            <v>kg</v>
          </cell>
          <cell r="K39">
            <v>6800</v>
          </cell>
          <cell r="L39">
            <v>1</v>
          </cell>
          <cell r="M39" t="str">
            <v>EVET</v>
          </cell>
          <cell r="N39" t="str">
            <v>MANNESMAN</v>
          </cell>
          <cell r="P39">
            <v>801</v>
          </cell>
        </row>
        <row r="40">
          <cell r="C40" t="str">
            <v>04.292/1</v>
          </cell>
          <cell r="D40" t="str">
            <v>KUTU PROFİL</v>
          </cell>
          <cell r="E40" t="str">
            <v>MANNESMAN</v>
          </cell>
          <cell r="F40">
            <v>34633</v>
          </cell>
          <cell r="G40" t="str">
            <v>DSH-114</v>
          </cell>
          <cell r="I40" t="str">
            <v>HAYIR</v>
          </cell>
          <cell r="J40" t="str">
            <v>kg.</v>
          </cell>
          <cell r="K40">
            <v>3380</v>
          </cell>
          <cell r="L40">
            <v>1</v>
          </cell>
          <cell r="M40" t="str">
            <v>EVET</v>
          </cell>
          <cell r="N40" t="str">
            <v>MANNESMAN</v>
          </cell>
          <cell r="P40">
            <v>511</v>
          </cell>
        </row>
        <row r="41">
          <cell r="C41" t="str">
            <v>04.292/10</v>
          </cell>
          <cell r="D41" t="str">
            <v>KUTU PROFİL</v>
          </cell>
          <cell r="E41" t="str">
            <v>MANNESMAN</v>
          </cell>
          <cell r="F41">
            <v>34633</v>
          </cell>
          <cell r="G41" t="str">
            <v>DSH-114</v>
          </cell>
          <cell r="I41" t="str">
            <v>HAYIR</v>
          </cell>
          <cell r="J41" t="str">
            <v>kg.</v>
          </cell>
          <cell r="K41">
            <v>19740</v>
          </cell>
          <cell r="L41">
            <v>1</v>
          </cell>
          <cell r="M41" t="str">
            <v>EVET</v>
          </cell>
          <cell r="N41" t="str">
            <v>MANNESMAN</v>
          </cell>
          <cell r="P41">
            <v>511</v>
          </cell>
        </row>
        <row r="42">
          <cell r="C42" t="str">
            <v>04.292/15</v>
          </cell>
          <cell r="D42" t="str">
            <v>KUTU PROFİL</v>
          </cell>
          <cell r="E42" t="str">
            <v>MANNESMAN</v>
          </cell>
          <cell r="F42">
            <v>34633</v>
          </cell>
          <cell r="G42" t="str">
            <v>DSH-114</v>
          </cell>
          <cell r="I42" t="str">
            <v>HAYIR</v>
          </cell>
          <cell r="J42" t="str">
            <v>mt</v>
          </cell>
          <cell r="K42">
            <v>7469</v>
          </cell>
          <cell r="L42">
            <v>1</v>
          </cell>
          <cell r="M42" t="str">
            <v>EVET</v>
          </cell>
          <cell r="N42" t="str">
            <v>MANNESMAN</v>
          </cell>
          <cell r="P42">
            <v>511</v>
          </cell>
        </row>
        <row r="43">
          <cell r="C43" t="str">
            <v>04.292/15</v>
          </cell>
          <cell r="D43" t="str">
            <v>KUTU PROFİL</v>
          </cell>
          <cell r="E43" t="str">
            <v>MANNESMAN</v>
          </cell>
          <cell r="F43">
            <v>34633</v>
          </cell>
          <cell r="G43" t="str">
            <v>DSH-114</v>
          </cell>
          <cell r="I43" t="str">
            <v>HAYIR</v>
          </cell>
          <cell r="J43" t="str">
            <v>kg.</v>
          </cell>
          <cell r="K43">
            <v>7469</v>
          </cell>
          <cell r="L43">
            <v>1</v>
          </cell>
          <cell r="M43" t="str">
            <v>EVET</v>
          </cell>
          <cell r="N43" t="str">
            <v>MANNESMAN</v>
          </cell>
          <cell r="P43">
            <v>511</v>
          </cell>
        </row>
        <row r="44">
          <cell r="C44" t="str">
            <v>04.292/2</v>
          </cell>
          <cell r="D44" t="str">
            <v>KUTU PROFİL</v>
          </cell>
          <cell r="E44" t="str">
            <v>MANNESMAN</v>
          </cell>
          <cell r="F44">
            <v>34633</v>
          </cell>
          <cell r="G44" t="str">
            <v>DSH-114</v>
          </cell>
          <cell r="I44" t="str">
            <v>HAYIR</v>
          </cell>
          <cell r="J44" t="str">
            <v>kg.</v>
          </cell>
          <cell r="K44">
            <v>4785</v>
          </cell>
          <cell r="L44">
            <v>1</v>
          </cell>
          <cell r="M44" t="str">
            <v>EVET</v>
          </cell>
          <cell r="N44" t="str">
            <v>MANNESMAN</v>
          </cell>
          <cell r="P44">
            <v>511</v>
          </cell>
        </row>
        <row r="45">
          <cell r="C45" t="str">
            <v>04.292/21</v>
          </cell>
          <cell r="D45" t="str">
            <v>KUTU PROFİL</v>
          </cell>
          <cell r="E45" t="str">
            <v>MANNESMAN</v>
          </cell>
          <cell r="F45">
            <v>34633</v>
          </cell>
          <cell r="G45" t="str">
            <v>DSH-114</v>
          </cell>
          <cell r="I45" t="str">
            <v>HAYIR</v>
          </cell>
          <cell r="J45" t="str">
            <v>kg.</v>
          </cell>
          <cell r="K45">
            <v>24673</v>
          </cell>
          <cell r="L45">
            <v>1</v>
          </cell>
          <cell r="M45" t="str">
            <v>EVET</v>
          </cell>
          <cell r="N45" t="str">
            <v>MANNESMAN</v>
          </cell>
          <cell r="P45">
            <v>511</v>
          </cell>
        </row>
        <row r="46">
          <cell r="C46" t="str">
            <v>04.305/2</v>
          </cell>
          <cell r="D46" t="str">
            <v>HASIR ÇELİK</v>
          </cell>
          <cell r="E46" t="str">
            <v>GÜNEY</v>
          </cell>
          <cell r="F46">
            <v>34632</v>
          </cell>
          <cell r="G46" t="str">
            <v>DSH-112</v>
          </cell>
          <cell r="I46" t="str">
            <v>VAR</v>
          </cell>
          <cell r="J46" t="str">
            <v>kg</v>
          </cell>
          <cell r="K46">
            <v>6350</v>
          </cell>
          <cell r="L46">
            <v>1</v>
          </cell>
          <cell r="M46" t="str">
            <v>EVET</v>
          </cell>
          <cell r="N46" t="str">
            <v>GÜNEY</v>
          </cell>
        </row>
        <row r="47">
          <cell r="C47" t="str">
            <v>04.305/2.</v>
          </cell>
          <cell r="D47" t="str">
            <v>HASIR ÇELİK</v>
          </cell>
          <cell r="E47" t="str">
            <v>GÜNEY</v>
          </cell>
          <cell r="F47">
            <v>34632</v>
          </cell>
          <cell r="G47" t="str">
            <v>DSH-112</v>
          </cell>
          <cell r="I47" t="str">
            <v>HAYIR</v>
          </cell>
          <cell r="J47" t="str">
            <v>kg</v>
          </cell>
          <cell r="K47">
            <v>6350</v>
          </cell>
          <cell r="L47">
            <v>1</v>
          </cell>
          <cell r="M47" t="str">
            <v>EVET</v>
          </cell>
          <cell r="N47" t="str">
            <v>GÜNEY</v>
          </cell>
        </row>
        <row r="48">
          <cell r="C48" t="str">
            <v>04.407</v>
          </cell>
          <cell r="D48" t="str">
            <v>FAYANS</v>
          </cell>
          <cell r="E48" t="str">
            <v>ÇANAKKALE</v>
          </cell>
          <cell r="F48">
            <v>34659</v>
          </cell>
          <cell r="G48" t="str">
            <v>DSH-238/1</v>
          </cell>
          <cell r="I48" t="str">
            <v>HAYIR</v>
          </cell>
          <cell r="J48" t="str">
            <v>ad.</v>
          </cell>
          <cell r="K48">
            <v>2500</v>
          </cell>
          <cell r="L48">
            <v>1</v>
          </cell>
          <cell r="M48" t="str">
            <v>EVET</v>
          </cell>
          <cell r="N48" t="str">
            <v>ÇANAKKALE</v>
          </cell>
          <cell r="P48">
            <v>901</v>
          </cell>
        </row>
        <row r="49">
          <cell r="C49" t="str">
            <v>04.408/B</v>
          </cell>
          <cell r="D49" t="str">
            <v>SERAMİK</v>
          </cell>
          <cell r="E49" t="str">
            <v>EGE,KALEBODUR</v>
          </cell>
          <cell r="F49">
            <v>34659</v>
          </cell>
          <cell r="G49" t="str">
            <v>DSH-238/1</v>
          </cell>
          <cell r="I49" t="str">
            <v>HAYIR</v>
          </cell>
          <cell r="J49" t="str">
            <v>m²</v>
          </cell>
          <cell r="K49">
            <v>120000</v>
          </cell>
          <cell r="L49">
            <v>1</v>
          </cell>
          <cell r="M49" t="str">
            <v>EVET</v>
          </cell>
          <cell r="N49" t="str">
            <v>EGE,KALEBODUR</v>
          </cell>
          <cell r="P49">
            <v>702</v>
          </cell>
        </row>
        <row r="50">
          <cell r="C50" t="str">
            <v>04.452</v>
          </cell>
          <cell r="D50" t="str">
            <v>ÇATI KERESTESİ</v>
          </cell>
          <cell r="E50" t="str">
            <v>DİYARBAKIR</v>
          </cell>
          <cell r="F50">
            <v>34700</v>
          </cell>
          <cell r="G50" t="str">
            <v>DSH-02</v>
          </cell>
          <cell r="I50" t="str">
            <v>HAYIR</v>
          </cell>
          <cell r="J50" t="str">
            <v>m³</v>
          </cell>
          <cell r="K50">
            <v>4150000</v>
          </cell>
          <cell r="L50">
            <v>1</v>
          </cell>
          <cell r="P50">
            <v>401</v>
          </cell>
        </row>
        <row r="51">
          <cell r="C51" t="str">
            <v>04.522 G</v>
          </cell>
          <cell r="D51" t="str">
            <v>AKRİLİK MACUN</v>
          </cell>
          <cell r="E51" t="str">
            <v>HALİMOĞLU</v>
          </cell>
          <cell r="F51">
            <v>34688</v>
          </cell>
          <cell r="G51" t="str">
            <v>DSH-349</v>
          </cell>
          <cell r="I51" t="str">
            <v>VAR</v>
          </cell>
          <cell r="J51" t="str">
            <v>kg</v>
          </cell>
          <cell r="K51">
            <v>13500</v>
          </cell>
          <cell r="L51">
            <v>1</v>
          </cell>
          <cell r="M51" t="str">
            <v>EVET</v>
          </cell>
          <cell r="N51" t="str">
            <v>HALİMOĞLU</v>
          </cell>
          <cell r="P51">
            <v>1712</v>
          </cell>
        </row>
        <row r="52">
          <cell r="C52" t="str">
            <v>04.522 G.</v>
          </cell>
          <cell r="D52" t="str">
            <v>AKRİLİK MACUN</v>
          </cell>
          <cell r="E52" t="str">
            <v>AKIN-AK</v>
          </cell>
          <cell r="F52">
            <v>34775</v>
          </cell>
          <cell r="G52" t="str">
            <v>DSH-240/95</v>
          </cell>
          <cell r="I52" t="str">
            <v>VAR</v>
          </cell>
          <cell r="J52" t="str">
            <v>kg</v>
          </cell>
          <cell r="K52">
            <v>13500</v>
          </cell>
          <cell r="L52">
            <v>1</v>
          </cell>
          <cell r="M52" t="str">
            <v>EVET</v>
          </cell>
          <cell r="N52" t="str">
            <v>AKIN-AK</v>
          </cell>
          <cell r="P52">
            <v>1712</v>
          </cell>
        </row>
        <row r="53">
          <cell r="C53" t="str">
            <v>04.522/A</v>
          </cell>
          <cell r="D53" t="str">
            <v>AKRİLİK CEPHE KAPLAMASI</v>
          </cell>
          <cell r="E53" t="str">
            <v>HALİMOĞLU</v>
          </cell>
          <cell r="F53">
            <v>34683</v>
          </cell>
          <cell r="G53" t="str">
            <v>DSH-312</v>
          </cell>
          <cell r="I53" t="str">
            <v>VAR</v>
          </cell>
          <cell r="J53" t="str">
            <v>kg</v>
          </cell>
          <cell r="K53">
            <v>33800</v>
          </cell>
          <cell r="L53">
            <v>1</v>
          </cell>
          <cell r="M53" t="str">
            <v>EVET</v>
          </cell>
          <cell r="N53" t="str">
            <v>HALİMOĞLU</v>
          </cell>
          <cell r="P53">
            <v>1712</v>
          </cell>
        </row>
        <row r="54">
          <cell r="C54" t="str">
            <v>04.524/1</v>
          </cell>
          <cell r="D54" t="str">
            <v>PLASTİK BOYA</v>
          </cell>
          <cell r="E54" t="str">
            <v>HALİMOĞLU</v>
          </cell>
          <cell r="F54">
            <v>34683</v>
          </cell>
          <cell r="G54" t="str">
            <v>DSH-312</v>
          </cell>
          <cell r="I54" t="str">
            <v>VAR</v>
          </cell>
          <cell r="J54" t="str">
            <v>kg</v>
          </cell>
          <cell r="K54">
            <v>31350</v>
          </cell>
          <cell r="L54">
            <v>1</v>
          </cell>
          <cell r="M54" t="str">
            <v>EVET</v>
          </cell>
          <cell r="N54" t="str">
            <v>HALİMOĞLU</v>
          </cell>
          <cell r="P54">
            <v>903</v>
          </cell>
        </row>
        <row r="55">
          <cell r="C55" t="str">
            <v>04.524/1</v>
          </cell>
          <cell r="D55" t="str">
            <v>PLASTİK BOYA</v>
          </cell>
          <cell r="E55" t="str">
            <v>AKIN-AK</v>
          </cell>
          <cell r="F55">
            <v>34732</v>
          </cell>
          <cell r="G55" t="str">
            <v>DSH-111/95</v>
          </cell>
          <cell r="I55" t="str">
            <v>HAYIR</v>
          </cell>
          <cell r="J55" t="str">
            <v>kg</v>
          </cell>
          <cell r="K55">
            <v>31350</v>
          </cell>
          <cell r="L55">
            <v>1</v>
          </cell>
          <cell r="M55" t="str">
            <v>EVET</v>
          </cell>
          <cell r="N55" t="str">
            <v>AKIN-AK</v>
          </cell>
          <cell r="P55">
            <v>903</v>
          </cell>
        </row>
        <row r="56">
          <cell r="C56" t="str">
            <v>04.608</v>
          </cell>
          <cell r="D56" t="str">
            <v>BİTÜMLÜ KARTON</v>
          </cell>
          <cell r="E56" t="str">
            <v>LEVENT</v>
          </cell>
          <cell r="F56">
            <v>34764</v>
          </cell>
          <cell r="G56" t="str">
            <v>DSH-228/95</v>
          </cell>
          <cell r="I56" t="str">
            <v>HAYIR</v>
          </cell>
          <cell r="J56" t="str">
            <v>m2</v>
          </cell>
          <cell r="K56">
            <v>1800</v>
          </cell>
          <cell r="L56">
            <v>1</v>
          </cell>
          <cell r="M56" t="str">
            <v>EVET</v>
          </cell>
          <cell r="N56" t="str">
            <v>LEVENT</v>
          </cell>
          <cell r="P56">
            <v>401</v>
          </cell>
        </row>
        <row r="57">
          <cell r="C57" t="str">
            <v>04.691/1</v>
          </cell>
          <cell r="D57" t="str">
            <v>ISICAM</v>
          </cell>
          <cell r="E57" t="str">
            <v>GÜRSAN</v>
          </cell>
          <cell r="F57">
            <v>34632</v>
          </cell>
          <cell r="G57" t="str">
            <v>DSH-112</v>
          </cell>
          <cell r="I57" t="str">
            <v>HAYIR</v>
          </cell>
          <cell r="J57" t="str">
            <v>m²</v>
          </cell>
          <cell r="K57">
            <v>339000</v>
          </cell>
          <cell r="L57">
            <v>1</v>
          </cell>
          <cell r="M57" t="str">
            <v>EVET</v>
          </cell>
          <cell r="N57" t="str">
            <v>GÜRSAN</v>
          </cell>
          <cell r="P57">
            <v>541</v>
          </cell>
        </row>
        <row r="58">
          <cell r="C58" t="str">
            <v>04.709/6-B</v>
          </cell>
          <cell r="D58" t="str">
            <v>DUVAR KAĞIDI</v>
          </cell>
          <cell r="E58" t="str">
            <v>ZÜMRÜT</v>
          </cell>
          <cell r="F58">
            <v>34688</v>
          </cell>
          <cell r="G58" t="str">
            <v>DSH-349</v>
          </cell>
          <cell r="I58" t="str">
            <v>HAYIR</v>
          </cell>
          <cell r="J58" t="str">
            <v>m²</v>
          </cell>
          <cell r="K58">
            <v>6600</v>
          </cell>
          <cell r="L58">
            <v>1</v>
          </cell>
          <cell r="M58" t="str">
            <v>EVET</v>
          </cell>
          <cell r="N58" t="str">
            <v>ZÜMRÜT</v>
          </cell>
          <cell r="P58">
            <v>902</v>
          </cell>
        </row>
        <row r="59">
          <cell r="C59" t="str">
            <v>04.710/14</v>
          </cell>
          <cell r="D59" t="str">
            <v>3 mm. DKP SAC</v>
          </cell>
          <cell r="E59" t="str">
            <v>MANNESMAN</v>
          </cell>
          <cell r="F59">
            <v>34633</v>
          </cell>
          <cell r="G59" t="str">
            <v>DSH-114</v>
          </cell>
          <cell r="I59" t="str">
            <v>HAYIR</v>
          </cell>
          <cell r="J59" t="str">
            <v>kg.</v>
          </cell>
          <cell r="K59">
            <v>5060</v>
          </cell>
          <cell r="L59">
            <v>1</v>
          </cell>
          <cell r="M59" t="str">
            <v>EVET</v>
          </cell>
          <cell r="N59" t="str">
            <v>MANNESMAN</v>
          </cell>
        </row>
        <row r="60">
          <cell r="C60" t="str">
            <v>04.714/N</v>
          </cell>
          <cell r="D60" t="str">
            <v>ALUMİNYUM ASMA TAVAN</v>
          </cell>
          <cell r="E60" t="str">
            <v>ASSAN</v>
          </cell>
          <cell r="F60">
            <v>34708</v>
          </cell>
          <cell r="G60" t="str">
            <v>DSH-28</v>
          </cell>
          <cell r="I60" t="str">
            <v>HAYIR</v>
          </cell>
          <cell r="J60" t="str">
            <v>kg</v>
          </cell>
          <cell r="K60">
            <v>56250</v>
          </cell>
          <cell r="L60">
            <v>1</v>
          </cell>
          <cell r="M60" t="str">
            <v>EVET</v>
          </cell>
          <cell r="N60" t="str">
            <v>ASSAN</v>
          </cell>
          <cell r="P60">
            <v>903</v>
          </cell>
        </row>
        <row r="61">
          <cell r="C61" t="str">
            <v>04.734/13</v>
          </cell>
          <cell r="D61" t="str">
            <v>CAM YÜNÜ (6 cm)</v>
          </cell>
          <cell r="E61" t="str">
            <v>İZOCAM</v>
          </cell>
          <cell r="F61">
            <v>34684</v>
          </cell>
          <cell r="G61" t="str">
            <v>DSH-329</v>
          </cell>
          <cell r="I61" t="str">
            <v>HAYIR</v>
          </cell>
          <cell r="J61" t="str">
            <v>m²</v>
          </cell>
          <cell r="K61">
            <v>39640</v>
          </cell>
          <cell r="L61">
            <v>1</v>
          </cell>
          <cell r="M61" t="str">
            <v>EVET</v>
          </cell>
          <cell r="N61" t="str">
            <v>İZOCAM</v>
          </cell>
          <cell r="P61">
            <v>401</v>
          </cell>
        </row>
        <row r="62">
          <cell r="C62" t="str">
            <v>04.734/A4</v>
          </cell>
          <cell r="D62" t="str">
            <v>CAM YÜNÜ (3 cm)</v>
          </cell>
          <cell r="E62" t="str">
            <v>İZOCAM</v>
          </cell>
          <cell r="F62">
            <v>34684</v>
          </cell>
          <cell r="G62" t="str">
            <v>DSH-329</v>
          </cell>
          <cell r="I62" t="str">
            <v>HAYIR</v>
          </cell>
          <cell r="J62" t="str">
            <v>m²</v>
          </cell>
          <cell r="K62">
            <v>29000</v>
          </cell>
          <cell r="L62">
            <v>1</v>
          </cell>
          <cell r="M62" t="str">
            <v>EVET</v>
          </cell>
          <cell r="N62" t="str">
            <v>İZOCAM</v>
          </cell>
          <cell r="P62">
            <v>322</v>
          </cell>
        </row>
        <row r="63">
          <cell r="C63" t="str">
            <v>04.737/F</v>
          </cell>
          <cell r="D63" t="str">
            <v>SATEN ALÇI</v>
          </cell>
          <cell r="E63" t="str">
            <v>ABS</v>
          </cell>
          <cell r="F63">
            <v>34716</v>
          </cell>
          <cell r="G63" t="str">
            <v>DSH-52/95</v>
          </cell>
          <cell r="I63" t="str">
            <v>HAYIR</v>
          </cell>
          <cell r="J63" t="str">
            <v>ton</v>
          </cell>
          <cell r="K63">
            <v>1632000</v>
          </cell>
          <cell r="L63">
            <v>1</v>
          </cell>
          <cell r="M63" t="str">
            <v>EVET</v>
          </cell>
          <cell r="N63" t="str">
            <v>ABS</v>
          </cell>
          <cell r="P63">
            <v>311</v>
          </cell>
        </row>
        <row r="64">
          <cell r="C64" t="str">
            <v>04.737/H</v>
          </cell>
          <cell r="D64" t="str">
            <v>SIVA ALÇISI</v>
          </cell>
          <cell r="E64" t="str">
            <v>ABS</v>
          </cell>
          <cell r="F64">
            <v>34716</v>
          </cell>
          <cell r="G64" t="str">
            <v>DSH-52/95</v>
          </cell>
          <cell r="I64" t="str">
            <v>HAYIR</v>
          </cell>
          <cell r="J64" t="str">
            <v>ton</v>
          </cell>
          <cell r="K64">
            <v>1550000</v>
          </cell>
          <cell r="L64">
            <v>1</v>
          </cell>
          <cell r="M64" t="str">
            <v>EVET</v>
          </cell>
          <cell r="N64" t="str">
            <v>ABS</v>
          </cell>
          <cell r="P64">
            <v>311</v>
          </cell>
        </row>
        <row r="65">
          <cell r="C65" t="str">
            <v>04.749.7</v>
          </cell>
          <cell r="D65" t="str">
            <v>GAZBETON</v>
          </cell>
          <cell r="E65" t="str">
            <v>MARTU</v>
          </cell>
          <cell r="F65">
            <v>34683</v>
          </cell>
          <cell r="G65" t="str">
            <v>DSH-312</v>
          </cell>
          <cell r="I65" t="str">
            <v>VAR</v>
          </cell>
          <cell r="J65" t="str">
            <v>m²</v>
          </cell>
          <cell r="K65">
            <v>103450</v>
          </cell>
          <cell r="L65">
            <v>1</v>
          </cell>
          <cell r="M65" t="str">
            <v>EVET</v>
          </cell>
          <cell r="N65" t="str">
            <v>MARTU</v>
          </cell>
          <cell r="P65">
            <v>601</v>
          </cell>
        </row>
        <row r="66">
          <cell r="C66" t="str">
            <v>04.749/7</v>
          </cell>
          <cell r="D66" t="str">
            <v>GAZ BETON</v>
          </cell>
          <cell r="E66" t="str">
            <v>MARTU</v>
          </cell>
          <cell r="F66">
            <v>34683</v>
          </cell>
          <cell r="G66" t="str">
            <v>DSH-312</v>
          </cell>
          <cell r="I66" t="str">
            <v>VAR</v>
          </cell>
          <cell r="J66" t="str">
            <v>m²</v>
          </cell>
          <cell r="K66">
            <v>103450</v>
          </cell>
          <cell r="L66">
            <v>1</v>
          </cell>
          <cell r="M66" t="str">
            <v>EVET</v>
          </cell>
          <cell r="N66" t="str">
            <v>MARTU</v>
          </cell>
          <cell r="P66">
            <v>601</v>
          </cell>
        </row>
        <row r="67">
          <cell r="C67" t="str">
            <v>04.749/7.</v>
          </cell>
          <cell r="D67" t="str">
            <v>GAZBETON</v>
          </cell>
          <cell r="E67" t="str">
            <v>MARTU</v>
          </cell>
          <cell r="F67">
            <v>34683</v>
          </cell>
          <cell r="G67" t="str">
            <v>DSH-312</v>
          </cell>
          <cell r="I67" t="str">
            <v>HAYIR</v>
          </cell>
          <cell r="J67" t="str">
            <v>m²</v>
          </cell>
          <cell r="K67">
            <v>103450</v>
          </cell>
          <cell r="L67">
            <v>1</v>
          </cell>
          <cell r="M67" t="str">
            <v>EVET</v>
          </cell>
          <cell r="N67" t="str">
            <v>MARTU</v>
          </cell>
          <cell r="P67">
            <v>601</v>
          </cell>
        </row>
        <row r="68">
          <cell r="C68" t="str">
            <v>04.769/2</v>
          </cell>
          <cell r="D68" t="str">
            <v>PVC YAĞMUR İNİŞ BORU</v>
          </cell>
          <cell r="E68" t="str">
            <v>PİLSA</v>
          </cell>
          <cell r="F68">
            <v>34764</v>
          </cell>
          <cell r="G68" t="str">
            <v>DSH-209/95</v>
          </cell>
          <cell r="I68" t="str">
            <v>HAYIR</v>
          </cell>
          <cell r="J68" t="str">
            <v>mt</v>
          </cell>
          <cell r="K68">
            <v>34320</v>
          </cell>
          <cell r="L68">
            <v>1</v>
          </cell>
          <cell r="M68" t="str">
            <v>EVET</v>
          </cell>
          <cell r="N68" t="str">
            <v>PİLSA</v>
          </cell>
          <cell r="P68">
            <v>1711</v>
          </cell>
        </row>
        <row r="69">
          <cell r="C69" t="str">
            <v>04.769/6</v>
          </cell>
          <cell r="D69" t="str">
            <v>PVC YAĞMUR OLUĞU</v>
          </cell>
          <cell r="E69" t="str">
            <v>PİLSA</v>
          </cell>
          <cell r="F69">
            <v>34771</v>
          </cell>
          <cell r="G69" t="str">
            <v>DSH-228/95</v>
          </cell>
          <cell r="I69" t="str">
            <v>HAYIR</v>
          </cell>
          <cell r="J69" t="str">
            <v>mt</v>
          </cell>
          <cell r="K69">
            <v>26895</v>
          </cell>
          <cell r="L69">
            <v>1</v>
          </cell>
          <cell r="M69" t="str">
            <v>EVET</v>
          </cell>
          <cell r="N69" t="str">
            <v>PİLSA</v>
          </cell>
          <cell r="P69">
            <v>402</v>
          </cell>
        </row>
        <row r="70">
          <cell r="C70" t="str">
            <v>04.773/10</v>
          </cell>
          <cell r="D70" t="str">
            <v>MENTEŞE</v>
          </cell>
          <cell r="E70" t="str">
            <v>KANER</v>
          </cell>
          <cell r="F70">
            <v>34740</v>
          </cell>
          <cell r="G70" t="str">
            <v>DSH-139/95</v>
          </cell>
          <cell r="I70" t="str">
            <v>HAYIR</v>
          </cell>
          <cell r="J70" t="str">
            <v>ad.</v>
          </cell>
          <cell r="K70">
            <v>6000</v>
          </cell>
          <cell r="L70">
            <v>1</v>
          </cell>
          <cell r="M70" t="str">
            <v xml:space="preserve">EVET </v>
          </cell>
          <cell r="N70" t="str">
            <v>KANER</v>
          </cell>
          <cell r="P70">
            <v>531</v>
          </cell>
        </row>
        <row r="71">
          <cell r="C71" t="str">
            <v>04.773/17</v>
          </cell>
          <cell r="D71" t="str">
            <v>MANDAL (İSP. KOLU VE DAMAK)</v>
          </cell>
          <cell r="E71" t="str">
            <v>KANER</v>
          </cell>
          <cell r="F71">
            <v>34740</v>
          </cell>
          <cell r="G71" t="str">
            <v>DSH-139/95</v>
          </cell>
          <cell r="I71" t="str">
            <v>HAYIR</v>
          </cell>
          <cell r="J71" t="str">
            <v>ad.</v>
          </cell>
          <cell r="K71">
            <v>20000</v>
          </cell>
          <cell r="L71">
            <v>1</v>
          </cell>
          <cell r="M71" t="str">
            <v xml:space="preserve">EVET </v>
          </cell>
          <cell r="N71" t="str">
            <v>KANER</v>
          </cell>
          <cell r="P71">
            <v>531</v>
          </cell>
        </row>
        <row r="72">
          <cell r="C72" t="str">
            <v>04.773/24</v>
          </cell>
          <cell r="D72" t="str">
            <v>İSPANYOLET 100 cm.</v>
          </cell>
          <cell r="E72" t="str">
            <v>KANER</v>
          </cell>
          <cell r="F72">
            <v>34740</v>
          </cell>
          <cell r="G72" t="str">
            <v>DSH-139/95</v>
          </cell>
          <cell r="I72" t="str">
            <v>HAYIR</v>
          </cell>
          <cell r="J72" t="str">
            <v>ad.</v>
          </cell>
          <cell r="K72">
            <v>28700</v>
          </cell>
          <cell r="L72">
            <v>1</v>
          </cell>
          <cell r="M72" t="str">
            <v xml:space="preserve">EVET </v>
          </cell>
          <cell r="N72" t="str">
            <v>KANER</v>
          </cell>
          <cell r="P72">
            <v>531</v>
          </cell>
        </row>
        <row r="73">
          <cell r="C73" t="str">
            <v>04.773/27</v>
          </cell>
          <cell r="D73" t="str">
            <v>İSPANYOLET 160 cm.</v>
          </cell>
          <cell r="E73" t="str">
            <v>KANER</v>
          </cell>
          <cell r="F73">
            <v>34740</v>
          </cell>
          <cell r="G73" t="str">
            <v>DSH-139/95</v>
          </cell>
          <cell r="I73" t="str">
            <v>HAYIR</v>
          </cell>
          <cell r="J73" t="str">
            <v>ad.</v>
          </cell>
          <cell r="K73">
            <v>38000</v>
          </cell>
          <cell r="L73">
            <v>1</v>
          </cell>
          <cell r="M73" t="str">
            <v xml:space="preserve">EVET </v>
          </cell>
          <cell r="N73" t="str">
            <v>KANER</v>
          </cell>
          <cell r="P73">
            <v>531</v>
          </cell>
        </row>
        <row r="74">
          <cell r="C74" t="str">
            <v>04.773/8</v>
          </cell>
          <cell r="D74" t="str">
            <v>KAPI KOLU VE AYNALARI</v>
          </cell>
          <cell r="E74" t="str">
            <v>KANER</v>
          </cell>
          <cell r="F74">
            <v>34740</v>
          </cell>
          <cell r="G74" t="str">
            <v>DSH-139/95</v>
          </cell>
          <cell r="I74" t="str">
            <v>HAYIR</v>
          </cell>
          <cell r="J74" t="str">
            <v>tk.</v>
          </cell>
          <cell r="K74">
            <v>35000</v>
          </cell>
          <cell r="L74">
            <v>1</v>
          </cell>
          <cell r="M74" t="str">
            <v xml:space="preserve">EVET </v>
          </cell>
          <cell r="N74" t="str">
            <v>KANER</v>
          </cell>
          <cell r="P74">
            <v>531</v>
          </cell>
        </row>
        <row r="75">
          <cell r="C75" t="str">
            <v>071.103</v>
          </cell>
          <cell r="D75" t="str">
            <v>LAVABO</v>
          </cell>
          <cell r="E75" t="str">
            <v>SEREL</v>
          </cell>
          <cell r="F75">
            <v>34702</v>
          </cell>
          <cell r="G75" t="str">
            <v>DSH-08</v>
          </cell>
          <cell r="I75" t="str">
            <v>HAYIR</v>
          </cell>
          <cell r="J75" t="str">
            <v>ad</v>
          </cell>
          <cell r="K75">
            <v>580000</v>
          </cell>
          <cell r="L75">
            <v>0.6</v>
          </cell>
          <cell r="M75" t="str">
            <v>EVET</v>
          </cell>
          <cell r="N75" t="str">
            <v>SEREL</v>
          </cell>
          <cell r="P75">
            <v>1053</v>
          </cell>
        </row>
        <row r="76">
          <cell r="C76" t="str">
            <v>072.401</v>
          </cell>
          <cell r="D76" t="str">
            <v>LAVABO TESİSATI</v>
          </cell>
          <cell r="E76" t="str">
            <v>ECA</v>
          </cell>
          <cell r="F76">
            <v>34702</v>
          </cell>
          <cell r="G76" t="str">
            <v>DSH-08</v>
          </cell>
          <cell r="I76" t="str">
            <v>HAYIR</v>
          </cell>
          <cell r="J76" t="str">
            <v>ad</v>
          </cell>
          <cell r="K76">
            <v>540000</v>
          </cell>
          <cell r="L76">
            <v>0.6</v>
          </cell>
          <cell r="M76" t="str">
            <v>EVET</v>
          </cell>
          <cell r="N76" t="str">
            <v>ECA</v>
          </cell>
          <cell r="P76">
            <v>1051</v>
          </cell>
        </row>
        <row r="77">
          <cell r="C77" t="str">
            <v>072.501</v>
          </cell>
          <cell r="D77" t="str">
            <v>LAVABO TESİSATI</v>
          </cell>
          <cell r="E77" t="str">
            <v>ECA</v>
          </cell>
          <cell r="F77">
            <v>34702</v>
          </cell>
          <cell r="G77" t="str">
            <v>DSH-08</v>
          </cell>
          <cell r="I77" t="str">
            <v>HAYIR</v>
          </cell>
          <cell r="J77" t="str">
            <v>ad</v>
          </cell>
          <cell r="K77">
            <v>960000</v>
          </cell>
          <cell r="L77">
            <v>0.6</v>
          </cell>
          <cell r="M77" t="str">
            <v>EVET</v>
          </cell>
          <cell r="N77" t="str">
            <v>ECA</v>
          </cell>
          <cell r="P77">
            <v>1053</v>
          </cell>
        </row>
        <row r="78">
          <cell r="C78" t="str">
            <v>075.103</v>
          </cell>
          <cell r="D78" t="str">
            <v>ALATURKA HELA TAŞI</v>
          </cell>
          <cell r="E78" t="str">
            <v>SEREL</v>
          </cell>
          <cell r="F78">
            <v>34702</v>
          </cell>
          <cell r="G78" t="str">
            <v>DSH-08</v>
          </cell>
          <cell r="I78" t="str">
            <v>HAYIR</v>
          </cell>
          <cell r="J78" t="str">
            <v>ad</v>
          </cell>
          <cell r="K78">
            <v>1100000</v>
          </cell>
          <cell r="L78">
            <v>0.6</v>
          </cell>
          <cell r="M78" t="str">
            <v>EVET</v>
          </cell>
          <cell r="N78" t="str">
            <v>SEREL</v>
          </cell>
          <cell r="P78">
            <v>1053</v>
          </cell>
        </row>
        <row r="79">
          <cell r="C79" t="str">
            <v>076.400</v>
          </cell>
          <cell r="D79" t="str">
            <v>ALATURKA HELA TESİSATI</v>
          </cell>
          <cell r="E79" t="str">
            <v>VİSAM</v>
          </cell>
          <cell r="F79">
            <v>34684</v>
          </cell>
          <cell r="G79" t="str">
            <v>DSH-329</v>
          </cell>
          <cell r="I79" t="str">
            <v>HAYIR</v>
          </cell>
          <cell r="J79" t="str">
            <v>ad</v>
          </cell>
          <cell r="K79">
            <v>280000</v>
          </cell>
          <cell r="L79">
            <v>0.6</v>
          </cell>
          <cell r="M79" t="str">
            <v>EVET</v>
          </cell>
          <cell r="N79" t="str">
            <v>VİSAM</v>
          </cell>
          <cell r="P79">
            <v>1051</v>
          </cell>
        </row>
        <row r="80">
          <cell r="C80" t="str">
            <v>077.100</v>
          </cell>
          <cell r="D80" t="str">
            <v>ALAFRANGA HELA TAŞI</v>
          </cell>
          <cell r="E80" t="str">
            <v>SEREL</v>
          </cell>
          <cell r="F80">
            <v>34702</v>
          </cell>
          <cell r="G80" t="str">
            <v>DSH-08</v>
          </cell>
          <cell r="I80" t="str">
            <v>HAYIR</v>
          </cell>
          <cell r="J80" t="str">
            <v>ad</v>
          </cell>
          <cell r="K80">
            <v>1360000</v>
          </cell>
          <cell r="L80">
            <v>0.6</v>
          </cell>
          <cell r="M80" t="str">
            <v>EVET</v>
          </cell>
          <cell r="N80" t="str">
            <v>SEREL</v>
          </cell>
          <cell r="P80">
            <v>1053</v>
          </cell>
        </row>
        <row r="81">
          <cell r="C81" t="str">
            <v>078.400</v>
          </cell>
          <cell r="D81" t="str">
            <v>ALAFRANGA HELA TESİSATI</v>
          </cell>
          <cell r="E81" t="str">
            <v>VİSAM</v>
          </cell>
          <cell r="F81">
            <v>34684</v>
          </cell>
          <cell r="G81" t="str">
            <v>DSH-329</v>
          </cell>
          <cell r="I81" t="str">
            <v>HAYIR</v>
          </cell>
          <cell r="J81" t="str">
            <v>ad</v>
          </cell>
          <cell r="K81">
            <v>280000</v>
          </cell>
          <cell r="L81">
            <v>0.6</v>
          </cell>
          <cell r="M81" t="str">
            <v>EVET</v>
          </cell>
          <cell r="N81" t="str">
            <v>VİSAM</v>
          </cell>
          <cell r="P81">
            <v>1051</v>
          </cell>
        </row>
        <row r="82">
          <cell r="C82" t="str">
            <v>083.202</v>
          </cell>
          <cell r="D82" t="str">
            <v>EVİYE</v>
          </cell>
          <cell r="E82" t="str">
            <v>TEKA</v>
          </cell>
          <cell r="F82">
            <v>34712</v>
          </cell>
          <cell r="G82" t="str">
            <v>DSH-43</v>
          </cell>
          <cell r="I82" t="str">
            <v>HAYIR</v>
          </cell>
          <cell r="J82" t="str">
            <v>ad</v>
          </cell>
          <cell r="K82">
            <v>780000</v>
          </cell>
          <cell r="L82">
            <v>0.6</v>
          </cell>
          <cell r="M82" t="str">
            <v>EVET</v>
          </cell>
          <cell r="N82" t="str">
            <v>TEKA</v>
          </cell>
          <cell r="P82">
            <v>1054</v>
          </cell>
        </row>
        <row r="83">
          <cell r="C83" t="str">
            <v>084.102</v>
          </cell>
          <cell r="D83" t="str">
            <v>EVİYE TESİSATI</v>
          </cell>
          <cell r="E83" t="str">
            <v>ECA</v>
          </cell>
          <cell r="F83">
            <v>34702</v>
          </cell>
          <cell r="G83" t="str">
            <v>DSH-08</v>
          </cell>
          <cell r="I83" t="str">
            <v>HAYIR</v>
          </cell>
          <cell r="J83" t="str">
            <v>ad</v>
          </cell>
          <cell r="K83">
            <v>960000</v>
          </cell>
          <cell r="L83">
            <v>0.6</v>
          </cell>
          <cell r="M83" t="str">
            <v>EVET</v>
          </cell>
          <cell r="N83" t="str">
            <v>ECA</v>
          </cell>
          <cell r="P83">
            <v>1054</v>
          </cell>
        </row>
        <row r="84">
          <cell r="C84" t="str">
            <v>087.201</v>
          </cell>
          <cell r="D84" t="str">
            <v>DUŞ TEKNESİ</v>
          </cell>
          <cell r="E84" t="str">
            <v>ODÖKSAN</v>
          </cell>
          <cell r="F84">
            <v>34702</v>
          </cell>
          <cell r="G84" t="str">
            <v>DSH-08</v>
          </cell>
          <cell r="I84" t="str">
            <v>HAYIR</v>
          </cell>
          <cell r="J84" t="str">
            <v>ad</v>
          </cell>
          <cell r="K84">
            <v>1650000</v>
          </cell>
          <cell r="L84">
            <v>0.6</v>
          </cell>
          <cell r="M84" t="str">
            <v>EVET</v>
          </cell>
          <cell r="N84" t="str">
            <v>ODÖKSAN</v>
          </cell>
          <cell r="P84">
            <v>1052</v>
          </cell>
        </row>
        <row r="85">
          <cell r="C85" t="str">
            <v>089.000</v>
          </cell>
          <cell r="D85" t="str">
            <v>SIHHİ TES.ARMATÜRÜ</v>
          </cell>
          <cell r="E85" t="str">
            <v>ECA</v>
          </cell>
          <cell r="F85">
            <v>34702</v>
          </cell>
          <cell r="G85" t="str">
            <v>DSH-08</v>
          </cell>
          <cell r="I85" t="str">
            <v>HAYIR</v>
          </cell>
          <cell r="L85">
            <v>0.6</v>
          </cell>
          <cell r="M85" t="str">
            <v>EVET</v>
          </cell>
          <cell r="N85" t="str">
            <v>ECA</v>
          </cell>
          <cell r="P85">
            <v>1051</v>
          </cell>
        </row>
        <row r="86">
          <cell r="C86" t="str">
            <v>089.201</v>
          </cell>
          <cell r="D86" t="str">
            <v>ÇAMAŞIR MUSLUĞU</v>
          </cell>
          <cell r="E86" t="str">
            <v>ECA</v>
          </cell>
          <cell r="F86">
            <v>34702</v>
          </cell>
          <cell r="G86" t="str">
            <v>DSH-08</v>
          </cell>
          <cell r="I86" t="str">
            <v>HAYIR</v>
          </cell>
          <cell r="J86" t="str">
            <v>ad</v>
          </cell>
          <cell r="K86">
            <v>180000</v>
          </cell>
          <cell r="L86">
            <v>0.6</v>
          </cell>
          <cell r="M86" t="str">
            <v>EVET</v>
          </cell>
          <cell r="N86" t="str">
            <v>ECA</v>
          </cell>
          <cell r="P86">
            <v>1051</v>
          </cell>
        </row>
        <row r="87">
          <cell r="C87" t="str">
            <v>089.602</v>
          </cell>
          <cell r="D87" t="str">
            <v>DUŞ TESİSATI</v>
          </cell>
          <cell r="E87" t="str">
            <v>ECA</v>
          </cell>
          <cell r="F87">
            <v>34702</v>
          </cell>
          <cell r="G87" t="str">
            <v>DSH-08</v>
          </cell>
          <cell r="I87" t="str">
            <v>HAYIR</v>
          </cell>
          <cell r="J87" t="str">
            <v>ad</v>
          </cell>
          <cell r="K87">
            <v>980000</v>
          </cell>
          <cell r="L87">
            <v>0.6</v>
          </cell>
          <cell r="M87" t="str">
            <v>EVET</v>
          </cell>
          <cell r="N87" t="str">
            <v>ECA</v>
          </cell>
          <cell r="P87">
            <v>1051</v>
          </cell>
        </row>
        <row r="88">
          <cell r="C88" t="str">
            <v>089.907</v>
          </cell>
          <cell r="D88" t="str">
            <v>PLASTİK REZERVUAR</v>
          </cell>
          <cell r="E88" t="str">
            <v>VİSAM</v>
          </cell>
          <cell r="F88">
            <v>34684</v>
          </cell>
          <cell r="G88" t="str">
            <v>DSH-329</v>
          </cell>
          <cell r="I88" t="str">
            <v>HAYIR</v>
          </cell>
          <cell r="J88" t="str">
            <v>ad</v>
          </cell>
          <cell r="L88">
            <v>0.6</v>
          </cell>
          <cell r="M88" t="str">
            <v>EVET</v>
          </cell>
          <cell r="N88" t="str">
            <v>VİSAM</v>
          </cell>
        </row>
        <row r="89">
          <cell r="C89" t="str">
            <v>102.102</v>
          </cell>
          <cell r="D89" t="str">
            <v>YANGIN HORTUM DOLABI</v>
          </cell>
          <cell r="E89" t="str">
            <v>FETAŞ</v>
          </cell>
          <cell r="F89">
            <v>34716</v>
          </cell>
          <cell r="G89" t="str">
            <v>DSH-53/95</v>
          </cell>
          <cell r="I89" t="str">
            <v>HAYIR</v>
          </cell>
          <cell r="J89" t="str">
            <v>ad</v>
          </cell>
          <cell r="K89">
            <v>2325000</v>
          </cell>
          <cell r="L89">
            <v>0.6</v>
          </cell>
          <cell r="M89" t="str">
            <v>EVET</v>
          </cell>
          <cell r="N89" t="str">
            <v>FETAŞ</v>
          </cell>
          <cell r="P89">
            <v>1054</v>
          </cell>
        </row>
        <row r="90">
          <cell r="C90" t="str">
            <v>103.102</v>
          </cell>
          <cell r="D90" t="str">
            <v>SU SAYACI 3/4"</v>
          </cell>
          <cell r="E90" t="str">
            <v>ECA</v>
          </cell>
          <cell r="F90">
            <v>34715</v>
          </cell>
          <cell r="G90" t="str">
            <v>DSH-47</v>
          </cell>
          <cell r="I90" t="str">
            <v>HAYIR</v>
          </cell>
          <cell r="J90" t="str">
            <v>ad</v>
          </cell>
          <cell r="K90">
            <v>360000</v>
          </cell>
          <cell r="L90">
            <v>0.6</v>
          </cell>
          <cell r="M90" t="str">
            <v>EVET</v>
          </cell>
          <cell r="N90" t="str">
            <v>ECA</v>
          </cell>
          <cell r="P90">
            <v>1035</v>
          </cell>
        </row>
        <row r="91">
          <cell r="C91" t="str">
            <v>117.201</v>
          </cell>
          <cell r="D91" t="str">
            <v>SOFBEN 10lt/dk</v>
          </cell>
          <cell r="E91" t="str">
            <v>DEMİRDÖKÜM</v>
          </cell>
          <cell r="F91">
            <v>34702</v>
          </cell>
          <cell r="G91" t="str">
            <v>DSH-08</v>
          </cell>
          <cell r="I91" t="str">
            <v>HAYIR</v>
          </cell>
          <cell r="J91" t="str">
            <v>ad</v>
          </cell>
          <cell r="K91">
            <v>3950000</v>
          </cell>
          <cell r="L91">
            <v>0.8</v>
          </cell>
          <cell r="M91" t="str">
            <v>EVET</v>
          </cell>
          <cell r="N91" t="str">
            <v>DEMİRDÖKÜM</v>
          </cell>
          <cell r="P91">
            <v>1051</v>
          </cell>
        </row>
        <row r="92">
          <cell r="C92" t="str">
            <v>151.206/A</v>
          </cell>
          <cell r="D92" t="str">
            <v>KAL. KAZANI 244000 kcal/sa</v>
          </cell>
          <cell r="E92" t="str">
            <v>DEMİRDÖKÜM</v>
          </cell>
          <cell r="F92">
            <v>34688</v>
          </cell>
          <cell r="G92" t="str">
            <v>DSH-348</v>
          </cell>
          <cell r="I92" t="str">
            <v>HAYIR</v>
          </cell>
          <cell r="J92" t="str">
            <v>ad</v>
          </cell>
          <cell r="K92">
            <v>119150000</v>
          </cell>
          <cell r="L92">
            <v>0.8</v>
          </cell>
          <cell r="M92" t="str">
            <v>EVET</v>
          </cell>
          <cell r="N92" t="str">
            <v>DEMİRDÖKÜM</v>
          </cell>
          <cell r="P92">
            <v>143</v>
          </cell>
        </row>
        <row r="93">
          <cell r="C93" t="str">
            <v>151.207/A</v>
          </cell>
          <cell r="D93" t="str">
            <v>KAL. KAZANI 281000 kcal/sa</v>
          </cell>
          <cell r="E93" t="str">
            <v>DEMİRDÖKÜM</v>
          </cell>
          <cell r="F93">
            <v>34688</v>
          </cell>
          <cell r="G93" t="str">
            <v>DSH-348</v>
          </cell>
          <cell r="I93" t="str">
            <v>HAYIR</v>
          </cell>
          <cell r="J93" t="str">
            <v>ad</v>
          </cell>
          <cell r="K93">
            <v>129751428</v>
          </cell>
          <cell r="L93">
            <v>0.8</v>
          </cell>
          <cell r="M93" t="str">
            <v>EVET</v>
          </cell>
          <cell r="N93" t="str">
            <v>DEMİRDÖKÜM</v>
          </cell>
          <cell r="P93">
            <v>143</v>
          </cell>
        </row>
        <row r="94">
          <cell r="C94" t="str">
            <v>151.209/A</v>
          </cell>
          <cell r="D94" t="str">
            <v>KAL. KAZANI 355000 kcal/sa</v>
          </cell>
          <cell r="E94" t="str">
            <v>DEMİRDÖKÜM</v>
          </cell>
          <cell r="F94">
            <v>34688</v>
          </cell>
          <cell r="G94" t="str">
            <v>DSH-348</v>
          </cell>
          <cell r="I94" t="str">
            <v>HAYIR</v>
          </cell>
          <cell r="J94" t="str">
            <v>ad</v>
          </cell>
          <cell r="K94">
            <v>149500000</v>
          </cell>
          <cell r="L94">
            <v>0.8</v>
          </cell>
          <cell r="M94" t="str">
            <v>EVET</v>
          </cell>
          <cell r="N94" t="str">
            <v>DEMİRDÖKÜM</v>
          </cell>
          <cell r="P94">
            <v>143</v>
          </cell>
        </row>
        <row r="95">
          <cell r="C95" t="str">
            <v>151.211/A</v>
          </cell>
          <cell r="D95" t="str">
            <v>KAL. KAZANI 428000 kcal/sa</v>
          </cell>
          <cell r="E95" t="str">
            <v>DEMİRDÖKÜM</v>
          </cell>
          <cell r="F95">
            <v>34688</v>
          </cell>
          <cell r="G95" t="str">
            <v>DSH-348</v>
          </cell>
          <cell r="I95" t="str">
            <v>HAYIR</v>
          </cell>
          <cell r="J95" t="str">
            <v>ad</v>
          </cell>
          <cell r="K95">
            <v>168420000</v>
          </cell>
          <cell r="L95">
            <v>0.8</v>
          </cell>
          <cell r="M95" t="str">
            <v>EVET</v>
          </cell>
          <cell r="N95" t="str">
            <v>DEMİRDÖKÜM</v>
          </cell>
          <cell r="P95">
            <v>143</v>
          </cell>
        </row>
        <row r="96">
          <cell r="C96" t="str">
            <v>165.707</v>
          </cell>
          <cell r="D96" t="str">
            <v>PANEL RAD.PKKP 400</v>
          </cell>
          <cell r="E96" t="str">
            <v>DEMİRDÖKÜM</v>
          </cell>
          <cell r="F96">
            <v>34632</v>
          </cell>
          <cell r="G96" t="str">
            <v>DSH-112</v>
          </cell>
          <cell r="I96" t="str">
            <v>HAYIR</v>
          </cell>
          <cell r="J96" t="str">
            <v>mt</v>
          </cell>
          <cell r="K96">
            <v>1105000</v>
          </cell>
          <cell r="L96">
            <v>0.8</v>
          </cell>
          <cell r="M96" t="str">
            <v>EVET</v>
          </cell>
          <cell r="N96" t="str">
            <v>DEMİRDÖKÜM</v>
          </cell>
          <cell r="P96">
            <v>1021</v>
          </cell>
        </row>
        <row r="97">
          <cell r="C97" t="str">
            <v>165.708</v>
          </cell>
          <cell r="D97" t="str">
            <v>PANEL RAD.PKKP 600</v>
          </cell>
          <cell r="E97" t="str">
            <v>DEMİRDÖKÜM</v>
          </cell>
          <cell r="F97">
            <v>34632</v>
          </cell>
          <cell r="G97" t="str">
            <v>DSH-112</v>
          </cell>
          <cell r="I97" t="str">
            <v>HAYIR</v>
          </cell>
          <cell r="J97" t="str">
            <v>mt</v>
          </cell>
          <cell r="K97">
            <v>1495000</v>
          </cell>
          <cell r="L97">
            <v>0.8</v>
          </cell>
          <cell r="M97" t="str">
            <v>EVET</v>
          </cell>
          <cell r="N97" t="str">
            <v>DEMİRDÖKÜM</v>
          </cell>
          <cell r="P97">
            <v>1021</v>
          </cell>
        </row>
        <row r="98">
          <cell r="C98" t="str">
            <v>170.201</v>
          </cell>
          <cell r="D98" t="str">
            <v>RAD.MUSLUĞU 1/2"</v>
          </cell>
          <cell r="E98" t="str">
            <v>ECA</v>
          </cell>
          <cell r="F98">
            <v>34702</v>
          </cell>
          <cell r="G98" t="str">
            <v>DSH-08</v>
          </cell>
          <cell r="I98" t="str">
            <v>HAYIR</v>
          </cell>
          <cell r="J98" t="str">
            <v>ad</v>
          </cell>
          <cell r="K98">
            <v>125000</v>
          </cell>
          <cell r="L98">
            <v>0.6</v>
          </cell>
          <cell r="M98" t="str">
            <v>EVET</v>
          </cell>
          <cell r="N98" t="str">
            <v>ECA</v>
          </cell>
          <cell r="P98">
            <v>1021</v>
          </cell>
        </row>
        <row r="99">
          <cell r="C99" t="str">
            <v>170.601</v>
          </cell>
          <cell r="D99" t="str">
            <v>RAD.GERİ DÖN.VALFİ 1/2"</v>
          </cell>
          <cell r="E99" t="str">
            <v>ECA</v>
          </cell>
          <cell r="F99">
            <v>34702</v>
          </cell>
          <cell r="G99" t="str">
            <v>DSH-08</v>
          </cell>
          <cell r="I99" t="str">
            <v>HAYIR</v>
          </cell>
          <cell r="J99" t="str">
            <v>ad</v>
          </cell>
          <cell r="K99">
            <v>92000</v>
          </cell>
          <cell r="L99">
            <v>0.6</v>
          </cell>
          <cell r="M99" t="str">
            <v>EVET</v>
          </cell>
          <cell r="N99" t="str">
            <v>ECA</v>
          </cell>
          <cell r="P99">
            <v>1021</v>
          </cell>
        </row>
        <row r="100">
          <cell r="C100" t="str">
            <v>201.104</v>
          </cell>
          <cell r="D100" t="str">
            <v>BORU 1/2"</v>
          </cell>
          <cell r="E100" t="str">
            <v>MANNESMAN</v>
          </cell>
          <cell r="F100">
            <v>34633</v>
          </cell>
          <cell r="G100" t="str">
            <v>DSH-114</v>
          </cell>
          <cell r="I100" t="str">
            <v>HAYIR</v>
          </cell>
          <cell r="J100" t="str">
            <v>mt</v>
          </cell>
          <cell r="K100">
            <v>23500</v>
          </cell>
          <cell r="L100">
            <v>0.6</v>
          </cell>
          <cell r="M100" t="str">
            <v>EVET</v>
          </cell>
          <cell r="N100" t="str">
            <v>MANNESMAN</v>
          </cell>
          <cell r="P100">
            <v>1011</v>
          </cell>
        </row>
        <row r="101">
          <cell r="C101" t="str">
            <v>201.105</v>
          </cell>
          <cell r="D101" t="str">
            <v>BORU 3/4"</v>
          </cell>
          <cell r="E101" t="str">
            <v>MANNESMAN</v>
          </cell>
          <cell r="F101">
            <v>34633</v>
          </cell>
          <cell r="G101" t="str">
            <v>DSH-114</v>
          </cell>
          <cell r="I101" t="str">
            <v>HAYIR</v>
          </cell>
          <cell r="J101" t="str">
            <v>mt</v>
          </cell>
          <cell r="K101">
            <v>28000</v>
          </cell>
          <cell r="L101">
            <v>0.6</v>
          </cell>
          <cell r="M101" t="str">
            <v>EVET</v>
          </cell>
          <cell r="N101" t="str">
            <v>MANNESMAN</v>
          </cell>
          <cell r="P101">
            <v>1011</v>
          </cell>
        </row>
        <row r="102">
          <cell r="C102" t="str">
            <v>201.106</v>
          </cell>
          <cell r="D102" t="str">
            <v>BORU 1"</v>
          </cell>
          <cell r="E102" t="str">
            <v>MANNESMAN</v>
          </cell>
          <cell r="F102">
            <v>34633</v>
          </cell>
          <cell r="G102" t="str">
            <v>DSH-114</v>
          </cell>
          <cell r="I102" t="str">
            <v>HAYIR</v>
          </cell>
          <cell r="J102" t="str">
            <v>mt</v>
          </cell>
          <cell r="K102">
            <v>37000</v>
          </cell>
          <cell r="L102">
            <v>0.6</v>
          </cell>
          <cell r="M102" t="str">
            <v>EVET</v>
          </cell>
          <cell r="N102" t="str">
            <v>MANNESMAN</v>
          </cell>
          <cell r="P102">
            <v>1011</v>
          </cell>
        </row>
        <row r="103">
          <cell r="C103" t="str">
            <v>201.110</v>
          </cell>
          <cell r="D103" t="str">
            <v>BORU 2 1/2"</v>
          </cell>
          <cell r="E103" t="str">
            <v>MANNESMAN</v>
          </cell>
          <cell r="F103">
            <v>34633</v>
          </cell>
          <cell r="G103" t="str">
            <v>DSH-114</v>
          </cell>
          <cell r="I103" t="str">
            <v>HAYIR</v>
          </cell>
          <cell r="J103" t="str">
            <v>mt</v>
          </cell>
          <cell r="K103">
            <v>86600</v>
          </cell>
          <cell r="L103">
            <v>0.6</v>
          </cell>
          <cell r="M103" t="str">
            <v>EVET</v>
          </cell>
          <cell r="N103" t="str">
            <v>MANNESMAN</v>
          </cell>
        </row>
        <row r="104">
          <cell r="C104" t="str">
            <v>201.111</v>
          </cell>
          <cell r="D104" t="str">
            <v>BORU 3"</v>
          </cell>
          <cell r="E104" t="str">
            <v>MANNESMAN</v>
          </cell>
          <cell r="F104">
            <v>34633</v>
          </cell>
          <cell r="G104" t="str">
            <v>DSH-114</v>
          </cell>
          <cell r="I104" t="str">
            <v>HAYIR</v>
          </cell>
          <cell r="J104" t="str">
            <v>mt</v>
          </cell>
          <cell r="K104">
            <v>109700</v>
          </cell>
          <cell r="L104">
            <v>0.6</v>
          </cell>
          <cell r="M104" t="str">
            <v>EVET</v>
          </cell>
          <cell r="N104" t="str">
            <v>MANNESMAN</v>
          </cell>
        </row>
        <row r="105">
          <cell r="C105" t="str">
            <v>201.400-500</v>
          </cell>
          <cell r="D105" t="str">
            <v>BORU BAĞL.VE MONT.MALZ.%30</v>
          </cell>
          <cell r="E105" t="str">
            <v>İZSAL</v>
          </cell>
          <cell r="F105">
            <v>34688</v>
          </cell>
          <cell r="G105" t="str">
            <v>DSH-349</v>
          </cell>
          <cell r="I105" t="str">
            <v>HAYIR</v>
          </cell>
          <cell r="J105" t="str">
            <v>ad</v>
          </cell>
          <cell r="K105">
            <v>181495200</v>
          </cell>
          <cell r="L105">
            <v>0.6</v>
          </cell>
          <cell r="M105" t="str">
            <v>EVET</v>
          </cell>
          <cell r="N105" t="str">
            <v>İZSAL</v>
          </cell>
        </row>
        <row r="106">
          <cell r="C106" t="str">
            <v>204.3102</v>
          </cell>
          <cell r="D106" t="str">
            <v>PPRC BORU Ø 20 VE FITİNGSLERİ</v>
          </cell>
          <cell r="E106" t="str">
            <v>ARILI</v>
          </cell>
          <cell r="F106">
            <v>34688</v>
          </cell>
          <cell r="G106" t="str">
            <v>DSH-349</v>
          </cell>
          <cell r="I106" t="str">
            <v>HAYIR</v>
          </cell>
          <cell r="J106" t="str">
            <v>mt</v>
          </cell>
          <cell r="K106">
            <v>30500</v>
          </cell>
          <cell r="L106">
            <v>0.8</v>
          </cell>
          <cell r="M106" t="str">
            <v>EVET</v>
          </cell>
          <cell r="N106" t="str">
            <v>ARILI</v>
          </cell>
          <cell r="P106">
            <v>1041</v>
          </cell>
        </row>
        <row r="107">
          <cell r="C107" t="str">
            <v>204.3103</v>
          </cell>
          <cell r="D107" t="str">
            <v>PPRC BORU Ø 25 VE FİTİNGSLERİ</v>
          </cell>
          <cell r="E107" t="str">
            <v>ARILI</v>
          </cell>
          <cell r="F107">
            <v>34688</v>
          </cell>
          <cell r="G107" t="str">
            <v>DSH-349</v>
          </cell>
          <cell r="I107" t="str">
            <v>HAYIR</v>
          </cell>
          <cell r="J107" t="str">
            <v>mt</v>
          </cell>
          <cell r="K107">
            <v>41250</v>
          </cell>
          <cell r="L107">
            <v>0.8</v>
          </cell>
          <cell r="M107" t="str">
            <v>EVET</v>
          </cell>
          <cell r="N107" t="str">
            <v>ARILI</v>
          </cell>
          <cell r="P107">
            <v>1041</v>
          </cell>
        </row>
        <row r="108">
          <cell r="C108" t="str">
            <v>204.3300</v>
          </cell>
          <cell r="D108" t="str">
            <v>PPRC MONTAJ MALZ.BEDELİ %45</v>
          </cell>
          <cell r="E108" t="str">
            <v>ARILI</v>
          </cell>
          <cell r="F108">
            <v>34688</v>
          </cell>
          <cell r="G108" t="str">
            <v>DSH-349</v>
          </cell>
          <cell r="I108" t="str">
            <v>HAYIR</v>
          </cell>
          <cell r="J108" t="str">
            <v>ad</v>
          </cell>
          <cell r="K108">
            <v>343850625</v>
          </cell>
          <cell r="L108">
            <v>0.8</v>
          </cell>
          <cell r="M108" t="str">
            <v>EVET</v>
          </cell>
          <cell r="N108" t="str">
            <v>ARILI</v>
          </cell>
        </row>
        <row r="109">
          <cell r="C109" t="str">
            <v>204.401</v>
          </cell>
          <cell r="D109" t="str">
            <v>PVC PİSSU BORUSU  O 50</v>
          </cell>
          <cell r="E109" t="str">
            <v>PİLSA</v>
          </cell>
          <cell r="F109">
            <v>34764</v>
          </cell>
          <cell r="G109" t="str">
            <v>DSH-209/95</v>
          </cell>
          <cell r="I109" t="str">
            <v>HAYIR</v>
          </cell>
          <cell r="J109" t="str">
            <v>mt</v>
          </cell>
          <cell r="K109">
            <v>24750</v>
          </cell>
          <cell r="L109">
            <v>0.6</v>
          </cell>
          <cell r="M109" t="str">
            <v>EVET</v>
          </cell>
          <cell r="N109" t="str">
            <v>PİLSA</v>
          </cell>
          <cell r="P109">
            <v>1044</v>
          </cell>
        </row>
        <row r="110">
          <cell r="C110" t="str">
            <v>204.402</v>
          </cell>
          <cell r="D110" t="str">
            <v>PVC PİSSU BORUSU  O 70</v>
          </cell>
          <cell r="E110" t="str">
            <v>PİLSA</v>
          </cell>
          <cell r="F110">
            <v>34764</v>
          </cell>
          <cell r="G110" t="str">
            <v>DSH-209/95</v>
          </cell>
          <cell r="I110" t="str">
            <v>HAYIR</v>
          </cell>
          <cell r="J110" t="str">
            <v>mt</v>
          </cell>
          <cell r="K110">
            <v>35500</v>
          </cell>
          <cell r="L110">
            <v>0.6</v>
          </cell>
          <cell r="M110" t="str">
            <v>EVET</v>
          </cell>
          <cell r="N110" t="str">
            <v>PİLSA</v>
          </cell>
          <cell r="P110">
            <v>1044</v>
          </cell>
        </row>
        <row r="111">
          <cell r="C111" t="str">
            <v>204.403</v>
          </cell>
          <cell r="D111" t="str">
            <v>PVC PİSSU BORUSU  O 100</v>
          </cell>
          <cell r="E111" t="str">
            <v>PİLSA</v>
          </cell>
          <cell r="F111">
            <v>34764</v>
          </cell>
          <cell r="G111" t="str">
            <v>DSH-209/95</v>
          </cell>
          <cell r="I111" t="str">
            <v>HAYIR</v>
          </cell>
          <cell r="J111" t="str">
            <v>mt</v>
          </cell>
          <cell r="K111">
            <v>62000</v>
          </cell>
          <cell r="L111">
            <v>0.6</v>
          </cell>
          <cell r="M111" t="str">
            <v>EVET</v>
          </cell>
          <cell r="N111" t="str">
            <v>PİLSA</v>
          </cell>
          <cell r="P111">
            <v>1044</v>
          </cell>
        </row>
        <row r="112">
          <cell r="C112" t="str">
            <v>204.404</v>
          </cell>
          <cell r="D112" t="str">
            <v>PVC PİSSU BORUSU  O 125</v>
          </cell>
          <cell r="E112" t="str">
            <v>PİLSA</v>
          </cell>
          <cell r="F112">
            <v>34764</v>
          </cell>
          <cell r="G112" t="str">
            <v>DSH-209/95</v>
          </cell>
          <cell r="I112" t="str">
            <v>HAYIR</v>
          </cell>
          <cell r="J112" t="str">
            <v>mt</v>
          </cell>
          <cell r="K112">
            <v>76500</v>
          </cell>
          <cell r="L112">
            <v>0.6</v>
          </cell>
          <cell r="M112" t="str">
            <v>EVET</v>
          </cell>
          <cell r="N112" t="str">
            <v>PİLSA</v>
          </cell>
          <cell r="P112">
            <v>1044</v>
          </cell>
        </row>
        <row r="113">
          <cell r="C113" t="str">
            <v>204.405</v>
          </cell>
          <cell r="D113" t="str">
            <v>PVC PİSSU BORUSU  O 150</v>
          </cell>
          <cell r="E113" t="str">
            <v>PİLSA</v>
          </cell>
          <cell r="F113">
            <v>34764</v>
          </cell>
          <cell r="G113" t="str">
            <v>DSH-209/95</v>
          </cell>
          <cell r="I113" t="str">
            <v>HAYIR</v>
          </cell>
          <cell r="J113" t="str">
            <v>mt</v>
          </cell>
          <cell r="K113">
            <v>124500</v>
          </cell>
          <cell r="L113">
            <v>0.6</v>
          </cell>
          <cell r="M113" t="str">
            <v>EVET</v>
          </cell>
          <cell r="N113" t="str">
            <v>PİLSA</v>
          </cell>
          <cell r="P113">
            <v>1044</v>
          </cell>
        </row>
        <row r="114">
          <cell r="C114" t="str">
            <v>207.102</v>
          </cell>
          <cell r="D114" t="str">
            <v>ŞİBER VANA 3/4"</v>
          </cell>
          <cell r="E114" t="str">
            <v>ECA</v>
          </cell>
          <cell r="F114">
            <v>34702</v>
          </cell>
          <cell r="G114" t="str">
            <v>DSH-08</v>
          </cell>
          <cell r="I114" t="str">
            <v>HAYIR</v>
          </cell>
          <cell r="J114" t="str">
            <v>ad</v>
          </cell>
          <cell r="K114">
            <v>100000</v>
          </cell>
          <cell r="L114">
            <v>0.8</v>
          </cell>
          <cell r="M114" t="str">
            <v>EVET</v>
          </cell>
          <cell r="N114" t="str">
            <v>ECA</v>
          </cell>
          <cell r="P114">
            <v>1035</v>
          </cell>
        </row>
        <row r="115">
          <cell r="C115" t="str">
            <v>207.601</v>
          </cell>
          <cell r="D115" t="str">
            <v>KOSVA VANA 1/2"</v>
          </cell>
          <cell r="E115" t="str">
            <v>ECA</v>
          </cell>
          <cell r="F115">
            <v>34702</v>
          </cell>
          <cell r="G115" t="str">
            <v>DSH-08</v>
          </cell>
          <cell r="I115" t="str">
            <v>HAYIR</v>
          </cell>
          <cell r="J115" t="str">
            <v>ad</v>
          </cell>
          <cell r="K115">
            <v>125000</v>
          </cell>
          <cell r="L115">
            <v>0.8</v>
          </cell>
          <cell r="M115" t="str">
            <v>EVET</v>
          </cell>
          <cell r="N115" t="str">
            <v>ECA</v>
          </cell>
          <cell r="P115">
            <v>1033</v>
          </cell>
        </row>
        <row r="116">
          <cell r="C116" t="str">
            <v>207.602</v>
          </cell>
          <cell r="D116" t="str">
            <v>KOSVA VANA 3/4"</v>
          </cell>
          <cell r="E116" t="str">
            <v>ECA</v>
          </cell>
          <cell r="F116">
            <v>34702</v>
          </cell>
          <cell r="G116" t="str">
            <v>DSH-08</v>
          </cell>
          <cell r="I116" t="str">
            <v>HAYIR</v>
          </cell>
          <cell r="J116" t="str">
            <v>ad</v>
          </cell>
          <cell r="K116">
            <v>145000</v>
          </cell>
          <cell r="L116">
            <v>0.8</v>
          </cell>
          <cell r="M116" t="str">
            <v>EVET</v>
          </cell>
          <cell r="N116" t="str">
            <v>ECA</v>
          </cell>
          <cell r="P116">
            <v>1033</v>
          </cell>
        </row>
        <row r="117">
          <cell r="C117" t="str">
            <v>207.603</v>
          </cell>
          <cell r="D117" t="str">
            <v>KOSVA VANA 1"</v>
          </cell>
          <cell r="E117" t="str">
            <v>ECA</v>
          </cell>
          <cell r="F117">
            <v>34702</v>
          </cell>
          <cell r="G117" t="str">
            <v>DSH-08</v>
          </cell>
          <cell r="I117" t="str">
            <v>HAYIR</v>
          </cell>
          <cell r="J117" t="str">
            <v>ad</v>
          </cell>
          <cell r="K117">
            <v>225000</v>
          </cell>
          <cell r="L117">
            <v>0.8</v>
          </cell>
          <cell r="M117" t="str">
            <v>EVET</v>
          </cell>
          <cell r="N117" t="str">
            <v>ECA</v>
          </cell>
          <cell r="P117">
            <v>1033</v>
          </cell>
        </row>
        <row r="118">
          <cell r="C118" t="str">
            <v>210.612</v>
          </cell>
          <cell r="D118" t="str">
            <v>KÜRESEL VANA 1/2"</v>
          </cell>
          <cell r="E118" t="str">
            <v>ECA</v>
          </cell>
          <cell r="F118">
            <v>34702</v>
          </cell>
          <cell r="G118" t="str">
            <v>DSH-08</v>
          </cell>
          <cell r="I118" t="str">
            <v>HAYIR</v>
          </cell>
          <cell r="J118" t="str">
            <v>ad</v>
          </cell>
          <cell r="K118">
            <v>130000</v>
          </cell>
          <cell r="L118">
            <v>0.8</v>
          </cell>
          <cell r="M118" t="str">
            <v>EVET</v>
          </cell>
          <cell r="N118" t="str">
            <v>ECA</v>
          </cell>
          <cell r="P118">
            <v>1033</v>
          </cell>
        </row>
        <row r="119">
          <cell r="C119" t="str">
            <v>23.155</v>
          </cell>
          <cell r="D119" t="str">
            <v>SAC KAPI KASASI</v>
          </cell>
          <cell r="E119" t="str">
            <v>ÇİNLER</v>
          </cell>
          <cell r="F119">
            <v>34683</v>
          </cell>
          <cell r="G119" t="str">
            <v>DSH-312</v>
          </cell>
          <cell r="I119" t="str">
            <v>VAR</v>
          </cell>
          <cell r="J119" t="str">
            <v>kg</v>
          </cell>
          <cell r="K119">
            <v>29663</v>
          </cell>
          <cell r="L119">
            <v>0.7</v>
          </cell>
          <cell r="M119" t="str">
            <v>EVET</v>
          </cell>
          <cell r="N119" t="str">
            <v>ÇİNLER</v>
          </cell>
          <cell r="P119">
            <v>512</v>
          </cell>
        </row>
        <row r="120">
          <cell r="C120" t="str">
            <v>402.201/A</v>
          </cell>
          <cell r="D120" t="str">
            <v>BRÜLÖR 31 kCal/h</v>
          </cell>
          <cell r="E120" t="str">
            <v>ALARKO</v>
          </cell>
          <cell r="F120">
            <v>34745</v>
          </cell>
          <cell r="G120" t="str">
            <v>DSH-152/95</v>
          </cell>
          <cell r="I120" t="str">
            <v>HAYIR</v>
          </cell>
          <cell r="J120" t="str">
            <v>Ad.</v>
          </cell>
          <cell r="K120">
            <v>27870000</v>
          </cell>
          <cell r="L120">
            <v>0.6</v>
          </cell>
          <cell r="M120" t="str">
            <v>EVET</v>
          </cell>
          <cell r="N120" t="str">
            <v>ALARKO</v>
          </cell>
        </row>
        <row r="121">
          <cell r="C121" t="str">
            <v>402.201/B</v>
          </cell>
          <cell r="D121" t="str">
            <v>BRÜLÖR 36 kCal/h</v>
          </cell>
          <cell r="E121" t="str">
            <v>ALARKO</v>
          </cell>
          <cell r="F121">
            <v>34745</v>
          </cell>
          <cell r="G121" t="str">
            <v>DSH-152/</v>
          </cell>
          <cell r="I121" t="str">
            <v>HAYIR</v>
          </cell>
          <cell r="J121" t="str">
            <v>Ad.</v>
          </cell>
          <cell r="K121">
            <v>29220000</v>
          </cell>
          <cell r="L121">
            <v>0.6</v>
          </cell>
          <cell r="M121" t="str">
            <v>EVET</v>
          </cell>
          <cell r="N121" t="str">
            <v>ALARKO</v>
          </cell>
        </row>
        <row r="122">
          <cell r="C122" t="str">
            <v>402.201/D</v>
          </cell>
          <cell r="D122" t="str">
            <v>BRÜLÖR45 kCal/h</v>
          </cell>
          <cell r="E122" t="str">
            <v>ALARKO</v>
          </cell>
          <cell r="F122">
            <v>34745</v>
          </cell>
          <cell r="G122" t="str">
            <v>DSH-152/</v>
          </cell>
          <cell r="I122" t="str">
            <v>HAYIR</v>
          </cell>
          <cell r="J122" t="str">
            <v>Ad.</v>
          </cell>
          <cell r="K122">
            <v>31650000</v>
          </cell>
          <cell r="L122">
            <v>0.6</v>
          </cell>
          <cell r="M122" t="str">
            <v>EVET</v>
          </cell>
          <cell r="N122" t="str">
            <v>ALARKO</v>
          </cell>
        </row>
        <row r="123">
          <cell r="C123" t="str">
            <v>402.202/A</v>
          </cell>
          <cell r="D123" t="str">
            <v>BRÜLÖR 54 kCal/h</v>
          </cell>
          <cell r="E123" t="str">
            <v>ALARKO</v>
          </cell>
          <cell r="F123">
            <v>34745</v>
          </cell>
          <cell r="G123" t="str">
            <v>DSH-152/95</v>
          </cell>
          <cell r="I123" t="str">
            <v>HAYIR</v>
          </cell>
          <cell r="J123" t="str">
            <v>Ad.</v>
          </cell>
          <cell r="K123">
            <v>34240000</v>
          </cell>
          <cell r="L123">
            <v>0.6</v>
          </cell>
          <cell r="M123" t="str">
            <v>EVET</v>
          </cell>
          <cell r="N123" t="str">
            <v>ALARKO</v>
          </cell>
        </row>
        <row r="124">
          <cell r="C124" t="str">
            <v>412.108</v>
          </cell>
          <cell r="D124" t="str">
            <v>YAKIT TANKI 20 m3</v>
          </cell>
          <cell r="E124" t="str">
            <v>DİYARBAKIR</v>
          </cell>
          <cell r="F124">
            <v>34816</v>
          </cell>
          <cell r="G124" t="str">
            <v>DSH-04</v>
          </cell>
          <cell r="I124" t="str">
            <v>HAYIR</v>
          </cell>
          <cell r="J124" t="str">
            <v>Ad.</v>
          </cell>
          <cell r="K124">
            <v>48100000</v>
          </cell>
          <cell r="L124">
            <v>0.6</v>
          </cell>
          <cell r="M124" t="str">
            <v>EVET</v>
          </cell>
          <cell r="N124" t="str">
            <v>DİYARBAKIR</v>
          </cell>
        </row>
        <row r="125">
          <cell r="C125" t="str">
            <v>707.103</v>
          </cell>
          <cell r="D125" t="str">
            <v>DAİRE SİGORTA KUTUSU</v>
          </cell>
          <cell r="E125" t="str">
            <v>MERLİN GERİN</v>
          </cell>
          <cell r="F125">
            <v>34655</v>
          </cell>
          <cell r="G125" t="str">
            <v>DSH-228</v>
          </cell>
          <cell r="I125" t="str">
            <v>HAYIR</v>
          </cell>
          <cell r="J125" t="str">
            <v>ad</v>
          </cell>
          <cell r="K125">
            <v>77000</v>
          </cell>
          <cell r="L125">
            <v>0.6</v>
          </cell>
          <cell r="M125" t="str">
            <v>EVET</v>
          </cell>
          <cell r="N125" t="str">
            <v>MERLİN GERİN</v>
          </cell>
          <cell r="P125">
            <v>1131</v>
          </cell>
        </row>
        <row r="126">
          <cell r="C126" t="str">
            <v>720.106</v>
          </cell>
          <cell r="D126" t="str">
            <v>YÜK KESİCİ</v>
          </cell>
          <cell r="E126" t="str">
            <v>KALEPORSELEN</v>
          </cell>
          <cell r="F126">
            <v>34695</v>
          </cell>
          <cell r="G126" t="str">
            <v>DSH-384</v>
          </cell>
          <cell r="I126" t="str">
            <v>HAYIR</v>
          </cell>
          <cell r="J126" t="str">
            <v>ad</v>
          </cell>
          <cell r="K126">
            <v>1100000</v>
          </cell>
          <cell r="L126">
            <v>0.6</v>
          </cell>
          <cell r="M126" t="str">
            <v>EVET</v>
          </cell>
          <cell r="N126" t="str">
            <v>KALEPORSELEN</v>
          </cell>
        </row>
        <row r="127">
          <cell r="C127" t="str">
            <v>724.401</v>
          </cell>
          <cell r="D127" t="str">
            <v>SİGORTA( W-OTOMAT) 10 A</v>
          </cell>
          <cell r="E127" t="str">
            <v>MERLİN GERİN</v>
          </cell>
          <cell r="F127">
            <v>34655</v>
          </cell>
          <cell r="G127" t="str">
            <v>DSH-228</v>
          </cell>
          <cell r="I127" t="str">
            <v>HAYIR</v>
          </cell>
          <cell r="J127" t="str">
            <v>ad</v>
          </cell>
          <cell r="K127">
            <v>75000</v>
          </cell>
          <cell r="L127">
            <v>0.6</v>
          </cell>
          <cell r="M127" t="str">
            <v>EVET</v>
          </cell>
          <cell r="N127" t="str">
            <v>MERLİN GERİN</v>
          </cell>
          <cell r="P127">
            <v>1131</v>
          </cell>
        </row>
        <row r="128">
          <cell r="C128" t="str">
            <v>724.401.</v>
          </cell>
          <cell r="D128" t="str">
            <v>SİGORTA( W-OTOMAT) 16 A</v>
          </cell>
          <cell r="E128" t="str">
            <v>MERLİN GERİN</v>
          </cell>
          <cell r="F128">
            <v>34655</v>
          </cell>
          <cell r="G128" t="str">
            <v>DSH-228</v>
          </cell>
          <cell r="I128" t="str">
            <v>HAYIR</v>
          </cell>
          <cell r="J128" t="str">
            <v>ad</v>
          </cell>
          <cell r="K128">
            <v>75000</v>
          </cell>
          <cell r="L128">
            <v>0.6</v>
          </cell>
          <cell r="M128" t="str">
            <v>EVET</v>
          </cell>
          <cell r="N128" t="str">
            <v>MERLİN GERİN</v>
          </cell>
          <cell r="P128">
            <v>1131</v>
          </cell>
        </row>
        <row r="129">
          <cell r="C129" t="str">
            <v>724.402</v>
          </cell>
          <cell r="D129" t="str">
            <v>SİGORTA( W-OTOMAT) 20 A</v>
          </cell>
          <cell r="E129" t="str">
            <v>MERLİN GERİN</v>
          </cell>
          <cell r="F129">
            <v>34655</v>
          </cell>
          <cell r="G129" t="str">
            <v>DSH-228</v>
          </cell>
          <cell r="I129" t="str">
            <v>HAYIR</v>
          </cell>
          <cell r="J129" t="str">
            <v>ad</v>
          </cell>
          <cell r="K129">
            <v>75000</v>
          </cell>
          <cell r="L129">
            <v>0.6</v>
          </cell>
          <cell r="M129" t="str">
            <v>EVET</v>
          </cell>
          <cell r="N129" t="str">
            <v>MERLİN GERİN</v>
          </cell>
          <cell r="P129">
            <v>1131</v>
          </cell>
        </row>
        <row r="130">
          <cell r="C130" t="str">
            <v>724.402.</v>
          </cell>
          <cell r="D130" t="str">
            <v xml:space="preserve">SİGORTA( W-OTOMAT) 25 A </v>
          </cell>
          <cell r="E130" t="str">
            <v>MERLİN GERİN</v>
          </cell>
          <cell r="F130">
            <v>34655</v>
          </cell>
          <cell r="G130" t="str">
            <v>DSH-228</v>
          </cell>
          <cell r="I130" t="str">
            <v>HAYIR</v>
          </cell>
          <cell r="J130" t="str">
            <v>ad</v>
          </cell>
          <cell r="K130">
            <v>75000</v>
          </cell>
          <cell r="L130">
            <v>0.6</v>
          </cell>
          <cell r="M130" t="str">
            <v>EVET</v>
          </cell>
          <cell r="N130" t="str">
            <v>MERLİN GERİN</v>
          </cell>
          <cell r="P130">
            <v>1131</v>
          </cell>
        </row>
        <row r="131">
          <cell r="C131" t="str">
            <v>724.404</v>
          </cell>
          <cell r="D131" t="str">
            <v>SİGORTA( W-OTOMAT) 32 A</v>
          </cell>
          <cell r="E131" t="str">
            <v>MERLİN GERİN</v>
          </cell>
          <cell r="F131">
            <v>34655</v>
          </cell>
          <cell r="G131" t="str">
            <v>DSH-228</v>
          </cell>
          <cell r="I131" t="str">
            <v>HAYIR</v>
          </cell>
          <cell r="J131" t="str">
            <v>ad</v>
          </cell>
          <cell r="K131">
            <v>75000</v>
          </cell>
          <cell r="L131">
            <v>0.6</v>
          </cell>
          <cell r="M131" t="str">
            <v>EVET</v>
          </cell>
          <cell r="N131" t="str">
            <v>MERLİN GERİN</v>
          </cell>
          <cell r="P131">
            <v>1131</v>
          </cell>
        </row>
        <row r="132">
          <cell r="C132" t="str">
            <v>724.406</v>
          </cell>
          <cell r="D132" t="str">
            <v>SİGORTA( W-OTOMAT)  3x16 A</v>
          </cell>
          <cell r="E132" t="str">
            <v>MERLİN GERİN</v>
          </cell>
          <cell r="F132">
            <v>34655</v>
          </cell>
          <cell r="G132" t="str">
            <v>DSH-228</v>
          </cell>
          <cell r="I132" t="str">
            <v>HAYIR</v>
          </cell>
          <cell r="J132" t="str">
            <v>ad</v>
          </cell>
          <cell r="K132">
            <v>265000</v>
          </cell>
          <cell r="L132">
            <v>0.6</v>
          </cell>
          <cell r="M132" t="str">
            <v>EVET</v>
          </cell>
          <cell r="N132" t="str">
            <v>MERLİN GERİN</v>
          </cell>
          <cell r="P132">
            <v>1131</v>
          </cell>
        </row>
        <row r="133">
          <cell r="C133" t="str">
            <v>725.601</v>
          </cell>
          <cell r="D133" t="str">
            <v>SAYAÇ (Monofaze)</v>
          </cell>
          <cell r="E133" t="str">
            <v>MKE</v>
          </cell>
          <cell r="F133">
            <v>34655</v>
          </cell>
          <cell r="G133" t="str">
            <v>DSH-228</v>
          </cell>
          <cell r="I133" t="str">
            <v>HAYIR</v>
          </cell>
          <cell r="J133" t="str">
            <v>ad</v>
          </cell>
          <cell r="K133">
            <v>450000</v>
          </cell>
          <cell r="L133">
            <v>0.6</v>
          </cell>
          <cell r="M133" t="str">
            <v>EVET</v>
          </cell>
          <cell r="N133" t="str">
            <v>MKE</v>
          </cell>
          <cell r="P133">
            <v>1141</v>
          </cell>
        </row>
        <row r="134">
          <cell r="C134" t="str">
            <v>725.702</v>
          </cell>
          <cell r="D134" t="str">
            <v>SAYAÇ (Trifaze)</v>
          </cell>
          <cell r="E134" t="str">
            <v>MKE</v>
          </cell>
          <cell r="F134">
            <v>34655</v>
          </cell>
          <cell r="G134" t="str">
            <v>DSH-228</v>
          </cell>
          <cell r="I134" t="str">
            <v>HAYIR</v>
          </cell>
          <cell r="J134" t="str">
            <v>ad</v>
          </cell>
          <cell r="K134">
            <v>820000</v>
          </cell>
          <cell r="L134">
            <v>0.6</v>
          </cell>
          <cell r="M134" t="str">
            <v>EVET</v>
          </cell>
          <cell r="N134" t="str">
            <v>MKE</v>
          </cell>
          <cell r="P134">
            <v>1141</v>
          </cell>
        </row>
        <row r="135">
          <cell r="C135" t="str">
            <v>739.101</v>
          </cell>
          <cell r="D135" t="str">
            <v>P.E. BORULAR Ø 20</v>
          </cell>
          <cell r="E135" t="str">
            <v>BERKAN,ZEYBEK</v>
          </cell>
          <cell r="F135">
            <v>34705</v>
          </cell>
          <cell r="G135" t="str">
            <v>DSH-25</v>
          </cell>
          <cell r="I135" t="str">
            <v>HAYIR</v>
          </cell>
          <cell r="J135" t="str">
            <v>mt</v>
          </cell>
          <cell r="K135">
            <v>5850</v>
          </cell>
          <cell r="L135">
            <v>0.6</v>
          </cell>
          <cell r="M135" t="str">
            <v>EVET</v>
          </cell>
          <cell r="N135" t="str">
            <v>BERKAN,ZEYBEK</v>
          </cell>
          <cell r="P135">
            <v>200</v>
          </cell>
        </row>
        <row r="136">
          <cell r="C136" t="str">
            <v>739.101.</v>
          </cell>
          <cell r="D136" t="str">
            <v>P.E. BORULAR Ø 16</v>
          </cell>
          <cell r="E136" t="str">
            <v>BERKAN,ZEYBEK</v>
          </cell>
          <cell r="F136">
            <v>34705</v>
          </cell>
          <cell r="G136" t="str">
            <v>DSH-25</v>
          </cell>
          <cell r="I136" t="str">
            <v>HAYIR</v>
          </cell>
          <cell r="J136" t="str">
            <v>mt</v>
          </cell>
          <cell r="K136">
            <v>5850</v>
          </cell>
          <cell r="L136">
            <v>0.6</v>
          </cell>
          <cell r="M136" t="str">
            <v>EVET</v>
          </cell>
          <cell r="N136" t="str">
            <v>BERKAN,ZEYBEK</v>
          </cell>
          <cell r="P136">
            <v>200</v>
          </cell>
        </row>
        <row r="137">
          <cell r="C137" t="str">
            <v>739.102</v>
          </cell>
          <cell r="D137" t="str">
            <v>P.E. BORULAR Ø 40</v>
          </cell>
          <cell r="E137" t="str">
            <v>BERKAN,ZEYBEK</v>
          </cell>
          <cell r="F137">
            <v>34705</v>
          </cell>
          <cell r="G137" t="str">
            <v>DSH-25</v>
          </cell>
          <cell r="I137" t="str">
            <v>HAYIR</v>
          </cell>
          <cell r="J137" t="str">
            <v>mt</v>
          </cell>
          <cell r="K137">
            <v>9200</v>
          </cell>
          <cell r="L137">
            <v>0.6</v>
          </cell>
          <cell r="M137" t="str">
            <v>EVET</v>
          </cell>
          <cell r="N137" t="str">
            <v>BERKAN,ZEYBEK</v>
          </cell>
          <cell r="P137">
            <v>200</v>
          </cell>
        </row>
        <row r="138">
          <cell r="C138" t="str">
            <v>739.102.</v>
          </cell>
          <cell r="D138" t="str">
            <v>P.E. BORULAR Ø 32</v>
          </cell>
          <cell r="E138" t="str">
            <v>BERKAN,ZEYBEK</v>
          </cell>
          <cell r="F138">
            <v>34705</v>
          </cell>
          <cell r="G138" t="str">
            <v>DSH-25</v>
          </cell>
          <cell r="I138" t="str">
            <v>HAYIR</v>
          </cell>
          <cell r="J138" t="str">
            <v>mt</v>
          </cell>
          <cell r="K138">
            <v>9200</v>
          </cell>
          <cell r="L138">
            <v>0.6</v>
          </cell>
          <cell r="M138" t="str">
            <v>EVET</v>
          </cell>
          <cell r="N138" t="str">
            <v>BERKAN,ZEYBEK</v>
          </cell>
          <cell r="P138">
            <v>200</v>
          </cell>
        </row>
        <row r="139">
          <cell r="C139" t="str">
            <v>780.118</v>
          </cell>
          <cell r="D139" t="str">
            <v>KABLO NYA 1.5 mm²</v>
          </cell>
          <cell r="E139" t="str">
            <v>SURTEL</v>
          </cell>
          <cell r="F139">
            <v>34687</v>
          </cell>
          <cell r="G139" t="str">
            <v>DSH-332</v>
          </cell>
          <cell r="I139" t="str">
            <v>HAYIR</v>
          </cell>
          <cell r="J139" t="str">
            <v>mt</v>
          </cell>
          <cell r="K139">
            <v>3080</v>
          </cell>
          <cell r="L139">
            <v>0.6</v>
          </cell>
          <cell r="M139" t="str">
            <v>EVET</v>
          </cell>
          <cell r="N139" t="str">
            <v>SURTEL</v>
          </cell>
          <cell r="P139">
            <v>200</v>
          </cell>
        </row>
        <row r="140">
          <cell r="C140" t="str">
            <v>780.119</v>
          </cell>
          <cell r="D140" t="str">
            <v>KABLO NYA 2.5 mm²</v>
          </cell>
          <cell r="E140" t="str">
            <v>SURTEL</v>
          </cell>
          <cell r="F140">
            <v>34687</v>
          </cell>
          <cell r="G140" t="str">
            <v>DSH-332</v>
          </cell>
          <cell r="I140" t="str">
            <v>HAYIR</v>
          </cell>
          <cell r="J140" t="str">
            <v>mt</v>
          </cell>
          <cell r="K140">
            <v>3900</v>
          </cell>
          <cell r="L140">
            <v>0.6</v>
          </cell>
          <cell r="M140" t="str">
            <v>EVET</v>
          </cell>
          <cell r="N140" t="str">
            <v>SURTEL</v>
          </cell>
          <cell r="P140">
            <v>200</v>
          </cell>
        </row>
        <row r="141">
          <cell r="C141" t="str">
            <v>780.127</v>
          </cell>
          <cell r="D141" t="str">
            <v>BUAT KASASI</v>
          </cell>
          <cell r="E141" t="str">
            <v>ÇETSAN</v>
          </cell>
          <cell r="F141">
            <v>34655</v>
          </cell>
          <cell r="G141" t="str">
            <v>DSH-228</v>
          </cell>
          <cell r="I141" t="str">
            <v>HAYIR</v>
          </cell>
          <cell r="J141" t="str">
            <v>ad</v>
          </cell>
          <cell r="K141">
            <v>8000</v>
          </cell>
          <cell r="L141">
            <v>0.6</v>
          </cell>
          <cell r="M141" t="str">
            <v>EVET</v>
          </cell>
          <cell r="N141" t="str">
            <v>ÇETSAN</v>
          </cell>
          <cell r="P141">
            <v>1131</v>
          </cell>
        </row>
        <row r="142">
          <cell r="C142" t="str">
            <v>780.127.</v>
          </cell>
          <cell r="D142" t="str">
            <v>ANAHTAR  KASASI</v>
          </cell>
          <cell r="E142" t="str">
            <v>ÇETSAN</v>
          </cell>
          <cell r="F142">
            <v>34655</v>
          </cell>
          <cell r="G142" t="str">
            <v>DSH-228</v>
          </cell>
          <cell r="I142" t="str">
            <v>HAYIR</v>
          </cell>
          <cell r="J142" t="str">
            <v>ad</v>
          </cell>
          <cell r="K142">
            <v>8000</v>
          </cell>
          <cell r="L142">
            <v>0.6</v>
          </cell>
          <cell r="M142" t="str">
            <v>EVET</v>
          </cell>
          <cell r="N142" t="str">
            <v>ÇETSAN</v>
          </cell>
          <cell r="P142">
            <v>1131</v>
          </cell>
        </row>
        <row r="143">
          <cell r="C143" t="str">
            <v>780.148</v>
          </cell>
          <cell r="D143" t="str">
            <v>NORMAL AMPUL</v>
          </cell>
          <cell r="E143" t="str">
            <v>PHILIPS,EDİSON,GEN.ELK.</v>
          </cell>
          <cell r="F143">
            <v>34708</v>
          </cell>
          <cell r="G143" t="str">
            <v>DSH-30</v>
          </cell>
          <cell r="I143" t="str">
            <v>HAYIR</v>
          </cell>
          <cell r="J143" t="str">
            <v>ad</v>
          </cell>
          <cell r="K143">
            <v>8750</v>
          </cell>
          <cell r="L143">
            <v>0.6</v>
          </cell>
          <cell r="M143" t="str">
            <v>EVET</v>
          </cell>
          <cell r="N143" t="str">
            <v>PHILIPS,EDİSON,GEN.ELK.</v>
          </cell>
        </row>
        <row r="144">
          <cell r="C144" t="str">
            <v>814.102</v>
          </cell>
          <cell r="D144" t="str">
            <v>KAPI OTOMATİĞİ</v>
          </cell>
          <cell r="E144" t="str">
            <v>NADE</v>
          </cell>
          <cell r="F144">
            <v>34655</v>
          </cell>
          <cell r="G144" t="str">
            <v>DSH-228</v>
          </cell>
          <cell r="I144" t="str">
            <v>HAYIR</v>
          </cell>
          <cell r="J144" t="str">
            <v>ad</v>
          </cell>
          <cell r="K144">
            <v>81000</v>
          </cell>
          <cell r="L144">
            <v>0.6</v>
          </cell>
          <cell r="M144" t="str">
            <v>EVET</v>
          </cell>
          <cell r="N144" t="str">
            <v>NADE</v>
          </cell>
          <cell r="P144">
            <v>1421</v>
          </cell>
        </row>
        <row r="145">
          <cell r="C145" t="str">
            <v>815.101</v>
          </cell>
          <cell r="D145" t="str">
            <v>TELEFON TESİSAT SORTİSİ</v>
          </cell>
          <cell r="E145" t="str">
            <v>KLAS,TÜRK KABLO</v>
          </cell>
          <cell r="F145">
            <v>34695</v>
          </cell>
          <cell r="G145" t="str">
            <v>DSH-384</v>
          </cell>
          <cell r="I145" t="str">
            <v>HAYIR</v>
          </cell>
          <cell r="J145" t="str">
            <v>ad</v>
          </cell>
          <cell r="K145">
            <v>155000</v>
          </cell>
          <cell r="L145">
            <v>0.6</v>
          </cell>
          <cell r="M145" t="str">
            <v>EVET</v>
          </cell>
          <cell r="N145" t="str">
            <v>KLAS,TÜRK KABLO</v>
          </cell>
          <cell r="P145">
            <v>1631</v>
          </cell>
        </row>
        <row r="146">
          <cell r="C146" t="str">
            <v>818.101</v>
          </cell>
          <cell r="D146" t="str">
            <v>TELEFON KABLOSU</v>
          </cell>
          <cell r="E146" t="str">
            <v>KLAS,TÜRK KABLO</v>
          </cell>
          <cell r="F146">
            <v>34695</v>
          </cell>
          <cell r="G146" t="str">
            <v>DSH-384</v>
          </cell>
          <cell r="I146" t="str">
            <v>HAYIR</v>
          </cell>
          <cell r="J146" t="str">
            <v>mt</v>
          </cell>
          <cell r="K146">
            <v>9700</v>
          </cell>
          <cell r="L146">
            <v>0.6</v>
          </cell>
          <cell r="M146" t="str">
            <v>EVET</v>
          </cell>
          <cell r="N146" t="str">
            <v>KLAS,TÜRK KABLO</v>
          </cell>
          <cell r="P146">
            <v>1631</v>
          </cell>
        </row>
        <row r="147">
          <cell r="C147" t="str">
            <v>818.105</v>
          </cell>
          <cell r="D147" t="str">
            <v>ZİL TELİ</v>
          </cell>
          <cell r="E147" t="str">
            <v>KLAS,TÜRK KABLO</v>
          </cell>
          <cell r="F147">
            <v>34695</v>
          </cell>
          <cell r="G147" t="str">
            <v>DSH-384</v>
          </cell>
          <cell r="I147" t="str">
            <v>HAYIR</v>
          </cell>
          <cell r="J147" t="str">
            <v>mt</v>
          </cell>
          <cell r="K147">
            <v>4950</v>
          </cell>
          <cell r="L147">
            <v>0.6</v>
          </cell>
          <cell r="M147" t="str">
            <v>EVET</v>
          </cell>
          <cell r="N147" t="str">
            <v>KLAS,TÜRK KABLO</v>
          </cell>
        </row>
        <row r="148">
          <cell r="C148" t="str">
            <v>845.107</v>
          </cell>
          <cell r="D148" t="str">
            <v>TV ANTENİ</v>
          </cell>
          <cell r="E148" t="str">
            <v>YURT</v>
          </cell>
          <cell r="F148">
            <v>34655</v>
          </cell>
          <cell r="G148" t="str">
            <v>DSH-228</v>
          </cell>
          <cell r="I148" t="str">
            <v>HAYIR</v>
          </cell>
          <cell r="J148" t="str">
            <v>ad</v>
          </cell>
          <cell r="K148">
            <v>300000</v>
          </cell>
          <cell r="L148">
            <v>0.6</v>
          </cell>
          <cell r="M148" t="str">
            <v>EVET</v>
          </cell>
          <cell r="N148" t="str">
            <v>YURT</v>
          </cell>
          <cell r="P148">
            <v>1611</v>
          </cell>
        </row>
        <row r="149">
          <cell r="C149" t="str">
            <v>M AKS./1A-1</v>
          </cell>
          <cell r="D149" t="str">
            <v>KAPI KİLİTLERİ (gömme iç kapı kl.)</v>
          </cell>
          <cell r="E149" t="str">
            <v>KALE</v>
          </cell>
          <cell r="F149">
            <v>34683</v>
          </cell>
          <cell r="G149" t="str">
            <v>DSH-312</v>
          </cell>
          <cell r="I149" t="str">
            <v>HAYIR</v>
          </cell>
          <cell r="J149" t="str">
            <v>ad</v>
          </cell>
          <cell r="K149">
            <v>49500</v>
          </cell>
          <cell r="L149">
            <v>1</v>
          </cell>
          <cell r="M149" t="str">
            <v>EVET</v>
          </cell>
          <cell r="N149" t="str">
            <v>KALE</v>
          </cell>
          <cell r="P149">
            <v>531</v>
          </cell>
        </row>
        <row r="150">
          <cell r="C150" t="str">
            <v>M AKS/4A-2</v>
          </cell>
          <cell r="D150" t="str">
            <v>KAPI KİLİTLERİ (dış kapı kilidi)</v>
          </cell>
          <cell r="E150" t="str">
            <v>KALE</v>
          </cell>
          <cell r="F150">
            <v>34683</v>
          </cell>
          <cell r="G150" t="str">
            <v>DSH-312</v>
          </cell>
          <cell r="I150" t="str">
            <v>HAYIR</v>
          </cell>
          <cell r="J150" t="str">
            <v>ad</v>
          </cell>
          <cell r="K150">
            <v>162500</v>
          </cell>
          <cell r="L150">
            <v>1</v>
          </cell>
          <cell r="M150" t="str">
            <v>EVET</v>
          </cell>
          <cell r="N150" t="str">
            <v>KALE</v>
          </cell>
          <cell r="P150">
            <v>531</v>
          </cell>
        </row>
        <row r="151">
          <cell r="C151" t="str">
            <v>412-108</v>
          </cell>
          <cell r="D151" t="str">
            <v>YAĞ YAKIT DEPOSU</v>
          </cell>
          <cell r="E151" t="str">
            <v>KIŞLA</v>
          </cell>
          <cell r="F151">
            <v>34877</v>
          </cell>
          <cell r="G151" t="str">
            <v>DSH-532/95</v>
          </cell>
          <cell r="I151" t="str">
            <v>HAYIR</v>
          </cell>
          <cell r="J151" t="str">
            <v>ad.</v>
          </cell>
          <cell r="K151">
            <v>48100000</v>
          </cell>
          <cell r="L151">
            <v>0.6</v>
          </cell>
          <cell r="M151" t="str">
            <v>EVET</v>
          </cell>
          <cell r="N151" t="str">
            <v>KIŞLA</v>
          </cell>
        </row>
        <row r="152">
          <cell r="C152" t="str">
            <v>173.102</v>
          </cell>
          <cell r="D152" t="str">
            <v>KOLLEKTÖR BORUSU 80 mm</v>
          </cell>
          <cell r="E152" t="str">
            <v>MANNESMAN</v>
          </cell>
          <cell r="F152">
            <v>34633</v>
          </cell>
          <cell r="G152" t="str">
            <v>DSH-114</v>
          </cell>
          <cell r="I152" t="str">
            <v>HAYIR</v>
          </cell>
          <cell r="J152" t="str">
            <v>mt</v>
          </cell>
          <cell r="K152">
            <v>190000</v>
          </cell>
          <cell r="L152">
            <v>0.6</v>
          </cell>
          <cell r="M152" t="str">
            <v>EVET</v>
          </cell>
          <cell r="N152" t="str">
            <v>MANNESMAN</v>
          </cell>
          <cell r="P152">
            <v>1036</v>
          </cell>
        </row>
        <row r="153">
          <cell r="C153" t="str">
            <v>173.103</v>
          </cell>
          <cell r="D153" t="str">
            <v>KOLLEKTÖR BORUSU 108 mm</v>
          </cell>
          <cell r="E153" t="str">
            <v>MANNESMAN</v>
          </cell>
          <cell r="F153">
            <v>34633</v>
          </cell>
          <cell r="G153" t="str">
            <v>DSH-114</v>
          </cell>
          <cell r="I153" t="str">
            <v>HAYIR</v>
          </cell>
          <cell r="J153" t="str">
            <v>mt</v>
          </cell>
          <cell r="K153">
            <v>260000</v>
          </cell>
          <cell r="L153">
            <v>0.6</v>
          </cell>
          <cell r="M153" t="str">
            <v>EVET</v>
          </cell>
          <cell r="N153" t="str">
            <v>MANNESMAN</v>
          </cell>
          <cell r="P153">
            <v>1036</v>
          </cell>
        </row>
        <row r="154">
          <cell r="C154" t="str">
            <v>173.104</v>
          </cell>
          <cell r="D154" t="str">
            <v>KOLLEKTÖR BORUSU 133 mm</v>
          </cell>
          <cell r="E154" t="str">
            <v>MANNESMAN</v>
          </cell>
          <cell r="F154">
            <v>34633</v>
          </cell>
          <cell r="G154" t="str">
            <v>DSH-114</v>
          </cell>
          <cell r="I154" t="str">
            <v>HAYIR</v>
          </cell>
          <cell r="J154" t="str">
            <v>mt</v>
          </cell>
          <cell r="K154">
            <v>370000</v>
          </cell>
          <cell r="L154">
            <v>0.6</v>
          </cell>
          <cell r="M154" t="str">
            <v>EVET</v>
          </cell>
          <cell r="N154" t="str">
            <v>MANNESMAN</v>
          </cell>
          <cell r="P154">
            <v>1036</v>
          </cell>
        </row>
        <row r="155">
          <cell r="C155" t="str">
            <v>173.105</v>
          </cell>
          <cell r="D155" t="str">
            <v>KOLLEKTÖR BORUSU 150 mm</v>
          </cell>
          <cell r="E155" t="str">
            <v>MANNESMAN</v>
          </cell>
          <cell r="F155">
            <v>34633</v>
          </cell>
          <cell r="G155" t="str">
            <v>DSH-114</v>
          </cell>
          <cell r="I155" t="str">
            <v>HAYIR</v>
          </cell>
          <cell r="J155" t="str">
            <v>mt</v>
          </cell>
          <cell r="K155">
            <v>420000</v>
          </cell>
          <cell r="L155">
            <v>0.6</v>
          </cell>
          <cell r="M155" t="str">
            <v>EVET</v>
          </cell>
          <cell r="N155" t="str">
            <v>MANNESMAN</v>
          </cell>
          <cell r="P155">
            <v>1036</v>
          </cell>
        </row>
        <row r="156">
          <cell r="C156" t="str">
            <v>173.301</v>
          </cell>
          <cell r="D156" t="str">
            <v>KOLLEKTÖR AĞZI 15 mm</v>
          </cell>
          <cell r="E156" t="str">
            <v>MANNESMAN</v>
          </cell>
          <cell r="F156">
            <v>34633</v>
          </cell>
          <cell r="G156" t="str">
            <v>DSH-114</v>
          </cell>
          <cell r="I156" t="str">
            <v>HAYIR</v>
          </cell>
          <cell r="J156" t="str">
            <v>ad</v>
          </cell>
          <cell r="K156">
            <v>30000</v>
          </cell>
          <cell r="L156">
            <v>0.4</v>
          </cell>
          <cell r="M156" t="str">
            <v>EVET</v>
          </cell>
          <cell r="N156" t="str">
            <v>MANNESMAN</v>
          </cell>
          <cell r="P156">
            <v>1036</v>
          </cell>
        </row>
        <row r="157">
          <cell r="C157" t="str">
            <v>173.302</v>
          </cell>
          <cell r="D157" t="str">
            <v>KOLLEKTÖR AĞZI 20 mm</v>
          </cell>
          <cell r="E157" t="str">
            <v>MANNESMAN</v>
          </cell>
          <cell r="F157">
            <v>34633</v>
          </cell>
          <cell r="G157" t="str">
            <v>DSH-114</v>
          </cell>
          <cell r="I157" t="str">
            <v>HAYIR</v>
          </cell>
          <cell r="J157" t="str">
            <v>ad</v>
          </cell>
          <cell r="K157">
            <v>37000</v>
          </cell>
          <cell r="L157">
            <v>0.4</v>
          </cell>
          <cell r="M157" t="str">
            <v>EVET</v>
          </cell>
          <cell r="N157" t="str">
            <v>MANNESMAN</v>
          </cell>
          <cell r="P157">
            <v>1036</v>
          </cell>
        </row>
        <row r="158">
          <cell r="C158" t="str">
            <v>173.304</v>
          </cell>
          <cell r="D158" t="str">
            <v>KOLLEKTÖR AĞZI 32 mm</v>
          </cell>
          <cell r="E158" t="str">
            <v>MANNESMAN</v>
          </cell>
          <cell r="F158">
            <v>34633</v>
          </cell>
          <cell r="G158" t="str">
            <v>DSH-114</v>
          </cell>
          <cell r="I158" t="str">
            <v>HAYIR</v>
          </cell>
          <cell r="J158" t="str">
            <v>ad</v>
          </cell>
          <cell r="K158">
            <v>48000</v>
          </cell>
          <cell r="L158">
            <v>0.4</v>
          </cell>
          <cell r="M158" t="str">
            <v>EVET</v>
          </cell>
          <cell r="N158" t="str">
            <v>MANNESMAN</v>
          </cell>
          <cell r="P158">
            <v>1036</v>
          </cell>
        </row>
        <row r="159">
          <cell r="C159" t="str">
            <v>173.305</v>
          </cell>
          <cell r="D159" t="str">
            <v>KOLLEKTÖR AĞZI 40 mm</v>
          </cell>
          <cell r="E159" t="str">
            <v>MANNESMAN</v>
          </cell>
          <cell r="F159">
            <v>34633</v>
          </cell>
          <cell r="G159" t="str">
            <v>DSH-114</v>
          </cell>
          <cell r="I159" t="str">
            <v>HAYIR</v>
          </cell>
          <cell r="J159" t="str">
            <v>ad</v>
          </cell>
          <cell r="K159">
            <v>51000</v>
          </cell>
          <cell r="L159">
            <v>0.4</v>
          </cell>
          <cell r="M159" t="str">
            <v>EVET</v>
          </cell>
          <cell r="N159" t="str">
            <v>MANNESMAN</v>
          </cell>
          <cell r="P159">
            <v>1036</v>
          </cell>
        </row>
        <row r="160">
          <cell r="C160" t="str">
            <v>173.306</v>
          </cell>
          <cell r="D160" t="str">
            <v>KOLLEKTÖR AĞZI 50 mm</v>
          </cell>
          <cell r="E160" t="str">
            <v>MANNESMAN</v>
          </cell>
          <cell r="F160">
            <v>34633</v>
          </cell>
          <cell r="G160" t="str">
            <v>DSH-114</v>
          </cell>
          <cell r="I160" t="str">
            <v>HAYIR</v>
          </cell>
          <cell r="J160" t="str">
            <v>ad</v>
          </cell>
          <cell r="K160">
            <v>58000</v>
          </cell>
          <cell r="L160">
            <v>0.4</v>
          </cell>
          <cell r="M160" t="str">
            <v>EVET</v>
          </cell>
          <cell r="N160" t="str">
            <v>MANNESMAN</v>
          </cell>
          <cell r="P160">
            <v>1036</v>
          </cell>
        </row>
        <row r="161">
          <cell r="C161" t="str">
            <v>173.307</v>
          </cell>
          <cell r="D161" t="str">
            <v>KOLLEKTÖR AĞZI 65 mm</v>
          </cell>
          <cell r="E161" t="str">
            <v>MANNESMAN</v>
          </cell>
          <cell r="F161">
            <v>34633</v>
          </cell>
          <cell r="G161" t="str">
            <v>DSH-114</v>
          </cell>
          <cell r="I161" t="str">
            <v>HAYIR</v>
          </cell>
          <cell r="J161" t="str">
            <v>ad</v>
          </cell>
          <cell r="K161">
            <v>70000</v>
          </cell>
          <cell r="L161">
            <v>0.4</v>
          </cell>
          <cell r="M161" t="str">
            <v>EVET</v>
          </cell>
          <cell r="N161" t="str">
            <v>MANNESMAN</v>
          </cell>
          <cell r="P161">
            <v>1036</v>
          </cell>
        </row>
        <row r="162">
          <cell r="C162" t="str">
            <v>173.308</v>
          </cell>
          <cell r="D162" t="str">
            <v>KOLLEKTÖR AĞZI 80 mm</v>
          </cell>
          <cell r="E162" t="str">
            <v>MANNESMAN</v>
          </cell>
          <cell r="F162">
            <v>34633</v>
          </cell>
          <cell r="G162" t="str">
            <v>DSH-114</v>
          </cell>
          <cell r="I162" t="str">
            <v>HAYIR</v>
          </cell>
          <cell r="J162" t="str">
            <v>ad</v>
          </cell>
          <cell r="K162">
            <v>85000</v>
          </cell>
          <cell r="L162">
            <v>0.4</v>
          </cell>
          <cell r="M162" t="str">
            <v>EVET</v>
          </cell>
          <cell r="N162" t="str">
            <v>MANNESMAN</v>
          </cell>
          <cell r="P162">
            <v>1036</v>
          </cell>
        </row>
        <row r="163">
          <cell r="C163" t="str">
            <v>173.309</v>
          </cell>
          <cell r="D163" t="str">
            <v>KOLLEKTÖR AĞZI 100 mm</v>
          </cell>
          <cell r="E163" t="str">
            <v>MANNESMAN</v>
          </cell>
          <cell r="F163">
            <v>34633</v>
          </cell>
          <cell r="G163" t="str">
            <v>DSH-114</v>
          </cell>
          <cell r="I163" t="str">
            <v>HAYIR</v>
          </cell>
          <cell r="J163" t="str">
            <v>ad</v>
          </cell>
          <cell r="K163">
            <v>100000</v>
          </cell>
          <cell r="L163">
            <v>0.4</v>
          </cell>
          <cell r="M163" t="str">
            <v>EVET</v>
          </cell>
          <cell r="N163" t="str">
            <v>MANNESMAN</v>
          </cell>
          <cell r="P163">
            <v>1036</v>
          </cell>
        </row>
        <row r="164">
          <cell r="C164" t="str">
            <v>207.401</v>
          </cell>
          <cell r="D164" t="str">
            <v>SÜRGÜLÜ VANA ND 10 40 mm</v>
          </cell>
          <cell r="E164" t="str">
            <v>VİS</v>
          </cell>
          <cell r="F164">
            <v>34898</v>
          </cell>
          <cell r="G164" t="str">
            <v>DSH-627/95</v>
          </cell>
          <cell r="I164" t="str">
            <v>HAYIR</v>
          </cell>
          <cell r="J164" t="str">
            <v>ad</v>
          </cell>
          <cell r="K164">
            <v>680000</v>
          </cell>
          <cell r="L164">
            <v>0.8</v>
          </cell>
          <cell r="M164" t="str">
            <v>EVET</v>
          </cell>
          <cell r="N164" t="str">
            <v>VİS</v>
          </cell>
          <cell r="P164">
            <v>1036</v>
          </cell>
        </row>
        <row r="165">
          <cell r="C165" t="str">
            <v>207.402</v>
          </cell>
          <cell r="D165" t="str">
            <v>SÜRGÜLÜ VANA ND 10 50 mm</v>
          </cell>
          <cell r="E165" t="str">
            <v>VİS</v>
          </cell>
          <cell r="F165">
            <v>34898</v>
          </cell>
          <cell r="G165" t="str">
            <v>DSH-627/95</v>
          </cell>
          <cell r="I165" t="str">
            <v>HAYIR</v>
          </cell>
          <cell r="J165" t="str">
            <v>ad</v>
          </cell>
          <cell r="K165">
            <v>750000</v>
          </cell>
          <cell r="L165">
            <v>0.8</v>
          </cell>
          <cell r="M165" t="str">
            <v>EVET</v>
          </cell>
          <cell r="N165" t="str">
            <v>VİS</v>
          </cell>
          <cell r="P165">
            <v>1036</v>
          </cell>
        </row>
        <row r="166">
          <cell r="C166" t="str">
            <v>207.403</v>
          </cell>
          <cell r="D166" t="str">
            <v>SÜRGÜLÜ VANA ND 10 65 mm</v>
          </cell>
          <cell r="E166" t="str">
            <v>VİS</v>
          </cell>
          <cell r="F166">
            <v>34898</v>
          </cell>
          <cell r="G166" t="str">
            <v>DSH-627/95</v>
          </cell>
          <cell r="I166" t="str">
            <v>HAYIR</v>
          </cell>
          <cell r="J166" t="str">
            <v>ad</v>
          </cell>
          <cell r="K166">
            <v>980000</v>
          </cell>
          <cell r="L166">
            <v>0.8</v>
          </cell>
          <cell r="M166" t="str">
            <v>EVET</v>
          </cell>
          <cell r="N166" t="str">
            <v>VİS</v>
          </cell>
          <cell r="P166">
            <v>1036</v>
          </cell>
        </row>
        <row r="167">
          <cell r="C167" t="str">
            <v>207.404</v>
          </cell>
          <cell r="D167" t="str">
            <v>SÜRGÜLÜ VANA ND 10 80 mm</v>
          </cell>
          <cell r="E167" t="str">
            <v>VİS</v>
          </cell>
          <cell r="F167">
            <v>34898</v>
          </cell>
          <cell r="G167" t="str">
            <v>DSH-627/95</v>
          </cell>
          <cell r="I167" t="str">
            <v>HAYIR</v>
          </cell>
          <cell r="J167" t="str">
            <v>ad</v>
          </cell>
          <cell r="K167">
            <v>1150000</v>
          </cell>
          <cell r="L167">
            <v>0.8</v>
          </cell>
          <cell r="M167" t="str">
            <v>EVET</v>
          </cell>
          <cell r="N167" t="str">
            <v>VİS</v>
          </cell>
          <cell r="P167">
            <v>1036</v>
          </cell>
        </row>
        <row r="168">
          <cell r="C168" t="str">
            <v>207.405</v>
          </cell>
          <cell r="D168" t="str">
            <v>SÜRGÜLÜ VANA ND 10 100 mm</v>
          </cell>
          <cell r="E168" t="str">
            <v>VİS</v>
          </cell>
          <cell r="F168">
            <v>34898</v>
          </cell>
          <cell r="G168" t="str">
            <v>DSH-627/95</v>
          </cell>
          <cell r="I168" t="str">
            <v>HAYIR</v>
          </cell>
          <cell r="J168" t="str">
            <v>ad</v>
          </cell>
          <cell r="K168">
            <v>1480000</v>
          </cell>
          <cell r="L168">
            <v>0.8</v>
          </cell>
          <cell r="M168" t="str">
            <v>EVET</v>
          </cell>
          <cell r="N168" t="str">
            <v>VİS</v>
          </cell>
          <cell r="P168">
            <v>1036</v>
          </cell>
        </row>
        <row r="169">
          <cell r="C169" t="str">
            <v>221.207</v>
          </cell>
          <cell r="D169" t="str">
            <v>PİSLİK TUTUCU 65 mm</v>
          </cell>
          <cell r="E169" t="str">
            <v>VİS</v>
          </cell>
          <cell r="F169">
            <v>34855</v>
          </cell>
          <cell r="G169" t="str">
            <v>DSH-460</v>
          </cell>
          <cell r="I169" t="str">
            <v>HAYIR</v>
          </cell>
          <cell r="J169" t="str">
            <v>ad</v>
          </cell>
          <cell r="K169">
            <v>1640000</v>
          </cell>
          <cell r="L169">
            <v>0.8</v>
          </cell>
          <cell r="M169" t="str">
            <v>EVET</v>
          </cell>
          <cell r="N169" t="str">
            <v>VİS</v>
          </cell>
          <cell r="P169">
            <v>1036</v>
          </cell>
        </row>
        <row r="170">
          <cell r="C170" t="str">
            <v>221.208</v>
          </cell>
          <cell r="D170" t="str">
            <v>PİSLİK TUTUCU 80 mm</v>
          </cell>
          <cell r="E170" t="str">
            <v>VİS</v>
          </cell>
          <cell r="F170">
            <v>34855</v>
          </cell>
          <cell r="G170" t="str">
            <v>DSH-460</v>
          </cell>
          <cell r="I170" t="str">
            <v>HAYIR</v>
          </cell>
          <cell r="J170" t="str">
            <v>ad</v>
          </cell>
          <cell r="K170">
            <v>2140000</v>
          </cell>
          <cell r="L170">
            <v>0.8</v>
          </cell>
          <cell r="M170" t="str">
            <v>EVET</v>
          </cell>
          <cell r="N170" t="str">
            <v>VİS</v>
          </cell>
          <cell r="P170">
            <v>1036</v>
          </cell>
        </row>
        <row r="171">
          <cell r="C171" t="str">
            <v>228.107</v>
          </cell>
          <cell r="D171" t="str">
            <v>GERİ TEPME VENTİLİ 65 mm</v>
          </cell>
          <cell r="E171" t="str">
            <v>VİS</v>
          </cell>
          <cell r="F171">
            <v>34898</v>
          </cell>
          <cell r="G171" t="str">
            <v>DSH-627/95</v>
          </cell>
          <cell r="I171" t="str">
            <v>HAYIR</v>
          </cell>
          <cell r="J171" t="str">
            <v>ad</v>
          </cell>
          <cell r="K171">
            <v>1150000</v>
          </cell>
          <cell r="L171">
            <v>0.8</v>
          </cell>
          <cell r="M171" t="str">
            <v>EVET</v>
          </cell>
          <cell r="N171" t="str">
            <v>VİS</v>
          </cell>
          <cell r="P171">
            <v>1036</v>
          </cell>
        </row>
        <row r="172">
          <cell r="C172" t="str">
            <v>228.108</v>
          </cell>
          <cell r="D172" t="str">
            <v>GERİ TEPME VENTİLİ 80 mm</v>
          </cell>
          <cell r="E172" t="str">
            <v>VİS</v>
          </cell>
          <cell r="F172">
            <v>34898</v>
          </cell>
          <cell r="G172" t="str">
            <v>DSH-627/95</v>
          </cell>
          <cell r="I172" t="str">
            <v>HAYIR</v>
          </cell>
          <cell r="J172" t="str">
            <v>ad</v>
          </cell>
          <cell r="K172">
            <v>1600000</v>
          </cell>
          <cell r="L172">
            <v>0.8</v>
          </cell>
          <cell r="M172" t="str">
            <v>EVET</v>
          </cell>
          <cell r="N172" t="str">
            <v>VİS</v>
          </cell>
          <cell r="P172">
            <v>1036</v>
          </cell>
        </row>
        <row r="173">
          <cell r="C173" t="str">
            <v>401.102</v>
          </cell>
          <cell r="D173" t="str">
            <v>YAĞ FİLİTRESİ 1/2"</v>
          </cell>
        </row>
        <row r="174">
          <cell r="C174" t="str">
            <v>401.107</v>
          </cell>
          <cell r="D174" t="str">
            <v>YAĞ FİLİTRESİ 2"</v>
          </cell>
        </row>
        <row r="175">
          <cell r="C175" t="str">
            <v>412.503</v>
          </cell>
          <cell r="D175" t="str">
            <v>ISITICILI GÜNLÜK YAKIT DEP.50 lt</v>
          </cell>
        </row>
        <row r="176">
          <cell r="C176" t="str">
            <v>301.303</v>
          </cell>
          <cell r="D176" t="str">
            <v>DALDIRMA TERMOSTATI 100 C</v>
          </cell>
          <cell r="E176" t="str">
            <v>SAUTER</v>
          </cell>
          <cell r="F176">
            <v>34921</v>
          </cell>
          <cell r="G176" t="str">
            <v>DSH-694/95</v>
          </cell>
          <cell r="I176" t="str">
            <v>HAYIR</v>
          </cell>
          <cell r="J176" t="str">
            <v>ad</v>
          </cell>
          <cell r="K176">
            <v>940000</v>
          </cell>
          <cell r="L176">
            <v>0.7</v>
          </cell>
          <cell r="M176" t="str">
            <v>EVET</v>
          </cell>
          <cell r="N176" t="str">
            <v>SAUTER</v>
          </cell>
        </row>
        <row r="177">
          <cell r="C177" t="str">
            <v>315.104</v>
          </cell>
          <cell r="D177" t="str">
            <v>DALDIRMA TİP DUYAR ELEMANI</v>
          </cell>
          <cell r="E177" t="str">
            <v>SAUTER</v>
          </cell>
          <cell r="F177">
            <v>34921</v>
          </cell>
          <cell r="G177" t="str">
            <v>DSH-694/95</v>
          </cell>
          <cell r="I177" t="str">
            <v>HAYIR</v>
          </cell>
          <cell r="J177" t="str">
            <v>ad</v>
          </cell>
          <cell r="K177">
            <v>2390000</v>
          </cell>
          <cell r="L177">
            <v>0.7</v>
          </cell>
          <cell r="M177" t="str">
            <v>EVET</v>
          </cell>
          <cell r="N177" t="str">
            <v>SAUTER</v>
          </cell>
        </row>
        <row r="178">
          <cell r="C178" t="str">
            <v>315.105</v>
          </cell>
          <cell r="D178" t="str">
            <v>DIŞ HAVA TİP DUYAR ELEMANI</v>
          </cell>
          <cell r="E178" t="str">
            <v>SAUTER</v>
          </cell>
          <cell r="F178">
            <v>34921</v>
          </cell>
          <cell r="G178" t="str">
            <v>DSH-694/95</v>
          </cell>
          <cell r="I178" t="str">
            <v>HAYIR</v>
          </cell>
          <cell r="J178" t="str">
            <v>ad</v>
          </cell>
          <cell r="K178">
            <v>1230000</v>
          </cell>
          <cell r="L178">
            <v>0.7</v>
          </cell>
          <cell r="M178" t="str">
            <v>EVET</v>
          </cell>
          <cell r="N178" t="str">
            <v>SAUTER</v>
          </cell>
        </row>
      </sheetData>
      <sheetData sheetId="1" refreshError="1">
        <row r="9">
          <cell r="E9">
            <v>100</v>
          </cell>
          <cell r="F9">
            <v>933.33333000000005</v>
          </cell>
          <cell r="G9">
            <v>48.2</v>
          </cell>
          <cell r="H9">
            <v>885.13333</v>
          </cell>
          <cell r="I9">
            <v>933.33333000000005</v>
          </cell>
        </row>
        <row r="10">
          <cell r="E10">
            <v>111</v>
          </cell>
          <cell r="F10">
            <v>233.33332999999999</v>
          </cell>
          <cell r="G10">
            <v>0</v>
          </cell>
          <cell r="H10">
            <v>233.33332999999999</v>
          </cell>
          <cell r="I10">
            <v>233.33332999999999</v>
          </cell>
        </row>
        <row r="11">
          <cell r="E11">
            <v>121</v>
          </cell>
          <cell r="F11">
            <v>70</v>
          </cell>
          <cell r="G11">
            <v>0</v>
          </cell>
          <cell r="H11">
            <v>70</v>
          </cell>
          <cell r="I11">
            <v>70</v>
          </cell>
        </row>
        <row r="12">
          <cell r="E12">
            <v>122</v>
          </cell>
          <cell r="F12">
            <v>163.33332999999999</v>
          </cell>
          <cell r="G12">
            <v>0</v>
          </cell>
          <cell r="H12">
            <v>163.33332999999999</v>
          </cell>
          <cell r="I12">
            <v>163.33332999999999</v>
          </cell>
        </row>
        <row r="13">
          <cell r="E13">
            <v>131</v>
          </cell>
          <cell r="F13">
            <v>121.33333</v>
          </cell>
          <cell r="G13">
            <v>0</v>
          </cell>
          <cell r="H13">
            <v>121.33333</v>
          </cell>
          <cell r="I13">
            <v>121.33333</v>
          </cell>
        </row>
        <row r="14">
          <cell r="E14">
            <v>132</v>
          </cell>
          <cell r="F14">
            <v>48.533329999999999</v>
          </cell>
          <cell r="G14">
            <v>0</v>
          </cell>
          <cell r="H14">
            <v>48.533329999999999</v>
          </cell>
          <cell r="I14">
            <v>48.533329999999999</v>
          </cell>
        </row>
        <row r="15">
          <cell r="E15">
            <v>133</v>
          </cell>
          <cell r="F15">
            <v>72.8</v>
          </cell>
          <cell r="G15">
            <v>0</v>
          </cell>
          <cell r="H15">
            <v>72.8</v>
          </cell>
          <cell r="I15">
            <v>72.8</v>
          </cell>
        </row>
        <row r="16">
          <cell r="E16">
            <v>141</v>
          </cell>
          <cell r="F16">
            <v>121.52</v>
          </cell>
          <cell r="G16">
            <v>0</v>
          </cell>
          <cell r="H16">
            <v>28</v>
          </cell>
          <cell r="I16">
            <v>28</v>
          </cell>
        </row>
        <row r="17">
          <cell r="E17">
            <v>142</v>
          </cell>
          <cell r="F17">
            <v>43</v>
          </cell>
          <cell r="G17">
            <v>0</v>
          </cell>
          <cell r="H17">
            <v>28</v>
          </cell>
          <cell r="I17">
            <v>28</v>
          </cell>
        </row>
        <row r="18">
          <cell r="E18">
            <v>143</v>
          </cell>
          <cell r="F18">
            <v>73.333330000000004</v>
          </cell>
          <cell r="G18">
            <v>0</v>
          </cell>
          <cell r="H18">
            <v>37.333329999999997</v>
          </cell>
          <cell r="I18">
            <v>37.333329999999997</v>
          </cell>
        </row>
        <row r="19">
          <cell r="E19">
            <v>151</v>
          </cell>
          <cell r="F19">
            <v>14.93333</v>
          </cell>
          <cell r="G19">
            <v>0</v>
          </cell>
          <cell r="H19">
            <v>14.93333</v>
          </cell>
          <cell r="I19">
            <v>14.93333</v>
          </cell>
        </row>
        <row r="20">
          <cell r="E20">
            <v>152</v>
          </cell>
          <cell r="F20">
            <v>14.93333</v>
          </cell>
          <cell r="G20">
            <v>0</v>
          </cell>
          <cell r="H20">
            <v>14.93333</v>
          </cell>
          <cell r="I20">
            <v>14.93333</v>
          </cell>
        </row>
        <row r="21">
          <cell r="E21">
            <v>153</v>
          </cell>
          <cell r="F21">
            <v>7.4666699999999997</v>
          </cell>
          <cell r="G21">
            <v>0</v>
          </cell>
          <cell r="H21">
            <v>7.4666699999999997</v>
          </cell>
          <cell r="I21">
            <v>7.4666699999999997</v>
          </cell>
        </row>
        <row r="22">
          <cell r="E22">
            <v>161</v>
          </cell>
          <cell r="F22">
            <v>22.4</v>
          </cell>
          <cell r="G22">
            <v>0</v>
          </cell>
          <cell r="H22">
            <v>22.4</v>
          </cell>
          <cell r="I22">
            <v>22.4</v>
          </cell>
        </row>
        <row r="23">
          <cell r="E23">
            <v>162</v>
          </cell>
          <cell r="F23">
            <v>22.4</v>
          </cell>
          <cell r="G23">
            <v>0</v>
          </cell>
          <cell r="H23">
            <v>22.4</v>
          </cell>
          <cell r="I23">
            <v>22.4</v>
          </cell>
        </row>
        <row r="24">
          <cell r="E24">
            <v>163</v>
          </cell>
          <cell r="F24">
            <v>11.2</v>
          </cell>
          <cell r="G24">
            <v>0</v>
          </cell>
          <cell r="H24">
            <v>11.2</v>
          </cell>
          <cell r="I24">
            <v>11.2</v>
          </cell>
        </row>
        <row r="25">
          <cell r="E25">
            <v>171</v>
          </cell>
          <cell r="F25">
            <v>37.333329999999997</v>
          </cell>
          <cell r="G25">
            <v>37.333329999999997</v>
          </cell>
          <cell r="H25">
            <v>0</v>
          </cell>
          <cell r="I25">
            <v>37.333329999999997</v>
          </cell>
        </row>
        <row r="26">
          <cell r="E26">
            <v>200</v>
          </cell>
          <cell r="F26">
            <v>1446.6666700000001</v>
          </cell>
          <cell r="G26">
            <v>0</v>
          </cell>
          <cell r="H26">
            <v>1446.6666700000001</v>
          </cell>
          <cell r="I26">
            <v>1446.6666700000001</v>
          </cell>
        </row>
        <row r="27">
          <cell r="E27">
            <v>0</v>
          </cell>
          <cell r="F27">
            <v>0</v>
          </cell>
          <cell r="G27">
            <v>0</v>
          </cell>
          <cell r="H27">
            <v>0</v>
          </cell>
          <cell r="I27">
            <v>0</v>
          </cell>
        </row>
        <row r="28">
          <cell r="E28">
            <v>300</v>
          </cell>
          <cell r="F28">
            <v>280</v>
          </cell>
          <cell r="G28">
            <v>0</v>
          </cell>
          <cell r="H28">
            <v>280</v>
          </cell>
          <cell r="I28">
            <v>280</v>
          </cell>
        </row>
        <row r="29">
          <cell r="E29">
            <v>0</v>
          </cell>
          <cell r="F29">
            <v>0</v>
          </cell>
          <cell r="G29">
            <v>0</v>
          </cell>
          <cell r="H29">
            <v>0</v>
          </cell>
          <cell r="I29">
            <v>0</v>
          </cell>
        </row>
        <row r="30">
          <cell r="E30">
            <v>311</v>
          </cell>
          <cell r="F30">
            <v>140</v>
          </cell>
          <cell r="G30">
            <v>0</v>
          </cell>
          <cell r="H30">
            <v>140</v>
          </cell>
          <cell r="I30">
            <v>140</v>
          </cell>
        </row>
        <row r="31">
          <cell r="E31">
            <v>322</v>
          </cell>
          <cell r="F31">
            <v>140</v>
          </cell>
          <cell r="G31">
            <v>0</v>
          </cell>
          <cell r="H31">
            <v>140</v>
          </cell>
          <cell r="I31">
            <v>140</v>
          </cell>
        </row>
        <row r="32">
          <cell r="E32">
            <v>400</v>
          </cell>
          <cell r="F32">
            <v>93.333330000000004</v>
          </cell>
          <cell r="G32">
            <v>0</v>
          </cell>
          <cell r="H32">
            <v>93.333330000000004</v>
          </cell>
          <cell r="I32">
            <v>93.333330000000004</v>
          </cell>
        </row>
        <row r="33">
          <cell r="E33">
            <v>401</v>
          </cell>
          <cell r="F33">
            <v>56</v>
          </cell>
          <cell r="G33">
            <v>0</v>
          </cell>
          <cell r="H33">
            <v>56</v>
          </cell>
          <cell r="I33">
            <v>56</v>
          </cell>
        </row>
        <row r="34">
          <cell r="E34">
            <v>402</v>
          </cell>
          <cell r="F34">
            <v>37.333329999999997</v>
          </cell>
          <cell r="G34">
            <v>0</v>
          </cell>
          <cell r="H34">
            <v>37.333329999999997</v>
          </cell>
          <cell r="I34">
            <v>37.333329999999997</v>
          </cell>
        </row>
        <row r="35">
          <cell r="E35">
            <v>500</v>
          </cell>
          <cell r="F35">
            <v>373.33332999999999</v>
          </cell>
          <cell r="G35">
            <v>10.66667</v>
          </cell>
          <cell r="H35">
            <v>362.66667000000001</v>
          </cell>
          <cell r="I35">
            <v>373.33332999999999</v>
          </cell>
        </row>
        <row r="36">
          <cell r="E36">
            <v>511</v>
          </cell>
          <cell r="F36">
            <v>29.866669999999999</v>
          </cell>
          <cell r="G36">
            <v>0</v>
          </cell>
          <cell r="H36">
            <v>29.866669999999999</v>
          </cell>
          <cell r="I36">
            <v>29.866669999999999</v>
          </cell>
        </row>
        <row r="37">
          <cell r="E37">
            <v>512</v>
          </cell>
          <cell r="F37">
            <v>44.8</v>
          </cell>
          <cell r="G37">
            <v>0</v>
          </cell>
          <cell r="H37">
            <v>44.8</v>
          </cell>
          <cell r="I37">
            <v>44.8</v>
          </cell>
        </row>
        <row r="38">
          <cell r="E38">
            <v>521</v>
          </cell>
          <cell r="F38">
            <v>74.666669999999996</v>
          </cell>
          <cell r="G38">
            <v>1.6</v>
          </cell>
          <cell r="H38">
            <v>73.066670000000002</v>
          </cell>
          <cell r="I38">
            <v>74.666669999999996</v>
          </cell>
        </row>
        <row r="39">
          <cell r="E39">
            <v>522</v>
          </cell>
          <cell r="F39">
            <v>74.666669999999996</v>
          </cell>
          <cell r="G39">
            <v>1.6</v>
          </cell>
          <cell r="H39">
            <v>73.066670000000002</v>
          </cell>
          <cell r="I39">
            <v>74.666669999999996</v>
          </cell>
        </row>
        <row r="40">
          <cell r="E40">
            <v>531</v>
          </cell>
          <cell r="F40">
            <v>37.333329999999997</v>
          </cell>
          <cell r="G40">
            <v>1.8666700000000001</v>
          </cell>
          <cell r="H40">
            <v>35.466670000000001</v>
          </cell>
          <cell r="I40">
            <v>37.333329999999997</v>
          </cell>
        </row>
        <row r="41">
          <cell r="E41">
            <v>541</v>
          </cell>
          <cell r="F41">
            <v>112</v>
          </cell>
          <cell r="G41">
            <v>5.6</v>
          </cell>
          <cell r="H41">
            <v>106.4</v>
          </cell>
          <cell r="I41">
            <v>112</v>
          </cell>
        </row>
        <row r="42">
          <cell r="E42">
            <v>600</v>
          </cell>
          <cell r="F42">
            <v>140</v>
          </cell>
          <cell r="G42">
            <v>0</v>
          </cell>
          <cell r="H42">
            <v>140</v>
          </cell>
          <cell r="I42">
            <v>140</v>
          </cell>
        </row>
        <row r="43">
          <cell r="E43">
            <v>601</v>
          </cell>
          <cell r="F43">
            <v>70</v>
          </cell>
          <cell r="G43">
            <v>0</v>
          </cell>
          <cell r="H43">
            <v>70</v>
          </cell>
          <cell r="I43">
            <v>70</v>
          </cell>
        </row>
        <row r="44">
          <cell r="E44">
            <v>602</v>
          </cell>
          <cell r="F44">
            <v>70</v>
          </cell>
          <cell r="G44">
            <v>0</v>
          </cell>
          <cell r="H44">
            <v>70</v>
          </cell>
          <cell r="I44">
            <v>70</v>
          </cell>
        </row>
        <row r="45">
          <cell r="E45">
            <v>700</v>
          </cell>
          <cell r="F45">
            <v>186.66667000000001</v>
          </cell>
          <cell r="G45">
            <v>0</v>
          </cell>
          <cell r="H45">
            <v>186.66667000000001</v>
          </cell>
          <cell r="I45">
            <v>186.66667000000001</v>
          </cell>
        </row>
        <row r="46">
          <cell r="E46">
            <v>701</v>
          </cell>
          <cell r="F46">
            <v>28</v>
          </cell>
          <cell r="G46">
            <v>0</v>
          </cell>
          <cell r="H46">
            <v>28</v>
          </cell>
          <cell r="I46">
            <v>28</v>
          </cell>
        </row>
        <row r="47">
          <cell r="E47">
            <v>702</v>
          </cell>
          <cell r="F47">
            <v>149.33332999999999</v>
          </cell>
          <cell r="G47">
            <v>0</v>
          </cell>
          <cell r="H47">
            <v>149.33332999999999</v>
          </cell>
          <cell r="I47">
            <v>149.33332999999999</v>
          </cell>
        </row>
        <row r="48">
          <cell r="E48">
            <v>703</v>
          </cell>
          <cell r="F48">
            <v>9.3333300000000001</v>
          </cell>
          <cell r="G48">
            <v>0</v>
          </cell>
          <cell r="H48">
            <v>9.3333300000000001</v>
          </cell>
          <cell r="I48">
            <v>9.3333300000000001</v>
          </cell>
        </row>
        <row r="49">
          <cell r="E49">
            <v>800</v>
          </cell>
          <cell r="F49">
            <v>46.666670000000003</v>
          </cell>
          <cell r="G49">
            <v>0</v>
          </cell>
          <cell r="H49">
            <v>46.666670000000003</v>
          </cell>
          <cell r="I49">
            <v>46.666670000000003</v>
          </cell>
        </row>
        <row r="50">
          <cell r="E50">
            <v>801</v>
          </cell>
          <cell r="F50">
            <v>18.66667</v>
          </cell>
          <cell r="G50">
            <v>0</v>
          </cell>
          <cell r="H50">
            <v>18.66667</v>
          </cell>
          <cell r="I50">
            <v>18.66667</v>
          </cell>
        </row>
        <row r="51">
          <cell r="E51">
            <v>802</v>
          </cell>
          <cell r="F51">
            <v>28</v>
          </cell>
          <cell r="G51">
            <v>0</v>
          </cell>
          <cell r="H51">
            <v>28</v>
          </cell>
          <cell r="I51">
            <v>28</v>
          </cell>
        </row>
        <row r="52">
          <cell r="E52">
            <v>900</v>
          </cell>
          <cell r="F52">
            <v>140</v>
          </cell>
          <cell r="G52">
            <v>2.125</v>
          </cell>
          <cell r="H52">
            <v>137.875</v>
          </cell>
          <cell r="I52">
            <v>140</v>
          </cell>
        </row>
        <row r="53">
          <cell r="E53">
            <v>901</v>
          </cell>
          <cell r="F53">
            <v>42</v>
          </cell>
          <cell r="G53">
            <v>0</v>
          </cell>
          <cell r="H53">
            <v>42</v>
          </cell>
          <cell r="I53">
            <v>42</v>
          </cell>
        </row>
        <row r="54">
          <cell r="E54">
            <v>902</v>
          </cell>
          <cell r="F54">
            <v>63</v>
          </cell>
          <cell r="G54">
            <v>0</v>
          </cell>
          <cell r="H54">
            <v>63</v>
          </cell>
          <cell r="I54">
            <v>63</v>
          </cell>
        </row>
        <row r="55">
          <cell r="E55">
            <v>903</v>
          </cell>
          <cell r="F55">
            <v>28</v>
          </cell>
          <cell r="G55">
            <v>0</v>
          </cell>
          <cell r="H55">
            <v>28</v>
          </cell>
          <cell r="I55">
            <v>28</v>
          </cell>
        </row>
        <row r="56">
          <cell r="E56">
            <v>904</v>
          </cell>
          <cell r="F56">
            <v>7</v>
          </cell>
          <cell r="G56">
            <v>2.125</v>
          </cell>
          <cell r="H56">
            <v>4.875</v>
          </cell>
          <cell r="I56">
            <v>7</v>
          </cell>
        </row>
        <row r="57">
          <cell r="E57">
            <v>1000</v>
          </cell>
          <cell r="F57">
            <v>699.76666999999998</v>
          </cell>
          <cell r="G57">
            <v>72.474999999999994</v>
          </cell>
          <cell r="H57">
            <v>627.29166999999995</v>
          </cell>
          <cell r="I57">
            <v>699.76666999999998</v>
          </cell>
        </row>
        <row r="58">
          <cell r="E58">
            <v>1011</v>
          </cell>
          <cell r="F58">
            <v>73.5</v>
          </cell>
          <cell r="G58">
            <v>0</v>
          </cell>
          <cell r="H58">
            <v>73.5</v>
          </cell>
          <cell r="I58">
            <v>73.5</v>
          </cell>
        </row>
        <row r="59">
          <cell r="E59">
            <v>1012</v>
          </cell>
          <cell r="F59">
            <v>31.266670000000001</v>
          </cell>
          <cell r="G59">
            <v>0</v>
          </cell>
          <cell r="H59">
            <v>31.266670000000001</v>
          </cell>
          <cell r="I59">
            <v>31.266670000000001</v>
          </cell>
        </row>
        <row r="60">
          <cell r="E60">
            <v>1021</v>
          </cell>
          <cell r="F60">
            <v>140</v>
          </cell>
          <cell r="G60">
            <v>0</v>
          </cell>
          <cell r="H60">
            <v>140</v>
          </cell>
          <cell r="I60">
            <v>140</v>
          </cell>
        </row>
        <row r="61">
          <cell r="E61">
            <v>1031</v>
          </cell>
          <cell r="F61">
            <v>7</v>
          </cell>
          <cell r="G61">
            <v>0</v>
          </cell>
          <cell r="H61">
            <v>14</v>
          </cell>
          <cell r="I61">
            <v>14</v>
          </cell>
        </row>
        <row r="62">
          <cell r="E62">
            <v>1032</v>
          </cell>
          <cell r="F62">
            <v>7</v>
          </cell>
          <cell r="G62">
            <v>0</v>
          </cell>
          <cell r="H62">
            <v>0</v>
          </cell>
          <cell r="I62">
            <v>0</v>
          </cell>
        </row>
        <row r="63">
          <cell r="E63">
            <v>1033</v>
          </cell>
          <cell r="F63">
            <v>21</v>
          </cell>
          <cell r="G63">
            <v>0</v>
          </cell>
          <cell r="H63">
            <v>21</v>
          </cell>
          <cell r="I63">
            <v>21</v>
          </cell>
        </row>
        <row r="64">
          <cell r="E64">
            <v>1034</v>
          </cell>
          <cell r="F64">
            <v>21</v>
          </cell>
          <cell r="G64">
            <v>0.375</v>
          </cell>
          <cell r="H64">
            <v>20.625</v>
          </cell>
          <cell r="I64">
            <v>21</v>
          </cell>
        </row>
        <row r="65">
          <cell r="E65">
            <v>1035</v>
          </cell>
          <cell r="F65">
            <v>21</v>
          </cell>
          <cell r="G65">
            <v>0</v>
          </cell>
          <cell r="H65">
            <v>21</v>
          </cell>
          <cell r="I65">
            <v>21</v>
          </cell>
        </row>
        <row r="66">
          <cell r="E66">
            <v>1036</v>
          </cell>
          <cell r="F66">
            <v>35</v>
          </cell>
          <cell r="G66">
            <v>0</v>
          </cell>
          <cell r="H66">
            <v>35</v>
          </cell>
          <cell r="I66">
            <v>35</v>
          </cell>
        </row>
        <row r="67">
          <cell r="E67">
            <v>1037</v>
          </cell>
          <cell r="F67">
            <v>28</v>
          </cell>
          <cell r="G67">
            <v>5.6</v>
          </cell>
          <cell r="H67">
            <v>22.4</v>
          </cell>
          <cell r="I67">
            <v>28</v>
          </cell>
        </row>
        <row r="68">
          <cell r="E68">
            <v>1038</v>
          </cell>
          <cell r="F68">
            <v>0</v>
          </cell>
          <cell r="G68">
            <v>0</v>
          </cell>
          <cell r="H68">
            <v>0</v>
          </cell>
          <cell r="I68">
            <v>0</v>
          </cell>
        </row>
        <row r="69">
          <cell r="E69">
            <v>1041</v>
          </cell>
          <cell r="F69">
            <v>42</v>
          </cell>
          <cell r="G69">
            <v>0</v>
          </cell>
          <cell r="H69">
            <v>42</v>
          </cell>
          <cell r="I69">
            <v>42</v>
          </cell>
        </row>
        <row r="70">
          <cell r="E70">
            <v>1042</v>
          </cell>
          <cell r="F70">
            <v>10.5</v>
          </cell>
          <cell r="G70">
            <v>0</v>
          </cell>
          <cell r="H70">
            <v>10.5</v>
          </cell>
          <cell r="I70">
            <v>10.5</v>
          </cell>
        </row>
        <row r="71">
          <cell r="E71">
            <v>1043</v>
          </cell>
          <cell r="F71">
            <v>15.75</v>
          </cell>
          <cell r="G71">
            <v>0</v>
          </cell>
          <cell r="H71">
            <v>15.75</v>
          </cell>
          <cell r="I71">
            <v>15.75</v>
          </cell>
        </row>
        <row r="72">
          <cell r="E72">
            <v>1044</v>
          </cell>
          <cell r="F72">
            <v>36.75</v>
          </cell>
          <cell r="G72">
            <v>0</v>
          </cell>
          <cell r="H72">
            <v>36.75</v>
          </cell>
          <cell r="I72">
            <v>36.75</v>
          </cell>
        </row>
        <row r="73">
          <cell r="E73">
            <v>1051</v>
          </cell>
          <cell r="F73">
            <v>56</v>
          </cell>
          <cell r="G73">
            <v>0</v>
          </cell>
          <cell r="H73">
            <v>56</v>
          </cell>
          <cell r="I73">
            <v>56</v>
          </cell>
        </row>
        <row r="74">
          <cell r="E74">
            <v>1052</v>
          </cell>
          <cell r="F74">
            <v>14</v>
          </cell>
          <cell r="G74">
            <v>0</v>
          </cell>
          <cell r="H74">
            <v>14</v>
          </cell>
          <cell r="I74">
            <v>14</v>
          </cell>
        </row>
        <row r="75">
          <cell r="E75">
            <v>1053</v>
          </cell>
          <cell r="F75">
            <v>56</v>
          </cell>
          <cell r="G75">
            <v>0</v>
          </cell>
          <cell r="H75">
            <v>56</v>
          </cell>
          <cell r="I75">
            <v>56</v>
          </cell>
        </row>
        <row r="76">
          <cell r="E76">
            <v>1054</v>
          </cell>
          <cell r="F76">
            <v>14</v>
          </cell>
          <cell r="G76">
            <v>0</v>
          </cell>
          <cell r="H76">
            <v>14</v>
          </cell>
          <cell r="I76">
            <v>14</v>
          </cell>
        </row>
        <row r="77">
          <cell r="E77">
            <v>1061</v>
          </cell>
          <cell r="F77">
            <v>56</v>
          </cell>
          <cell r="G77">
            <v>56</v>
          </cell>
          <cell r="H77">
            <v>0</v>
          </cell>
          <cell r="I77">
            <v>56</v>
          </cell>
        </row>
        <row r="78">
          <cell r="E78">
            <v>1062</v>
          </cell>
          <cell r="F78">
            <v>14</v>
          </cell>
          <cell r="G78">
            <v>10.5</v>
          </cell>
          <cell r="H78">
            <v>3.5</v>
          </cell>
          <cell r="I78">
            <v>14</v>
          </cell>
        </row>
        <row r="79">
          <cell r="E79">
            <v>1100</v>
          </cell>
          <cell r="F79">
            <v>420</v>
          </cell>
          <cell r="G79">
            <v>71.400000000000006</v>
          </cell>
          <cell r="H79">
            <v>348.6</v>
          </cell>
          <cell r="I79">
            <v>420</v>
          </cell>
        </row>
        <row r="80">
          <cell r="E80">
            <v>1111</v>
          </cell>
          <cell r="F80">
            <v>42</v>
          </cell>
          <cell r="G80">
            <v>0</v>
          </cell>
          <cell r="H80">
            <v>42</v>
          </cell>
          <cell r="I80">
            <v>42</v>
          </cell>
        </row>
        <row r="81">
          <cell r="E81">
            <v>1121</v>
          </cell>
          <cell r="F81">
            <v>126</v>
          </cell>
          <cell r="G81">
            <v>0</v>
          </cell>
          <cell r="H81">
            <v>126</v>
          </cell>
          <cell r="I81">
            <v>126</v>
          </cell>
        </row>
        <row r="82">
          <cell r="E82">
            <v>1131</v>
          </cell>
          <cell r="F82">
            <v>126</v>
          </cell>
          <cell r="G82">
            <v>31.5</v>
          </cell>
          <cell r="H82">
            <v>94.5</v>
          </cell>
          <cell r="I82">
            <v>126</v>
          </cell>
        </row>
        <row r="83">
          <cell r="E83">
            <v>1141</v>
          </cell>
          <cell r="F83">
            <v>84</v>
          </cell>
          <cell r="G83">
            <v>18.899999999999999</v>
          </cell>
          <cell r="H83">
            <v>65.099999999999994</v>
          </cell>
          <cell r="I83">
            <v>84</v>
          </cell>
        </row>
        <row r="84">
          <cell r="E84">
            <v>1151</v>
          </cell>
          <cell r="F84">
            <v>42</v>
          </cell>
          <cell r="G84">
            <v>21</v>
          </cell>
          <cell r="H84">
            <v>21</v>
          </cell>
          <cell r="I84">
            <v>42</v>
          </cell>
        </row>
        <row r="85">
          <cell r="E85">
            <v>1200</v>
          </cell>
          <cell r="F85">
            <v>233.33332999999999</v>
          </cell>
          <cell r="G85">
            <v>0</v>
          </cell>
          <cell r="H85">
            <v>233.33332999999999</v>
          </cell>
          <cell r="I85">
            <v>233.33332999999999</v>
          </cell>
        </row>
        <row r="86">
          <cell r="E86">
            <v>0</v>
          </cell>
          <cell r="F86">
            <v>0</v>
          </cell>
          <cell r="G86">
            <v>0</v>
          </cell>
          <cell r="H86">
            <v>0</v>
          </cell>
          <cell r="I86">
            <v>0</v>
          </cell>
        </row>
        <row r="87">
          <cell r="E87">
            <v>1201</v>
          </cell>
          <cell r="F87">
            <v>116.66667</v>
          </cell>
          <cell r="G87">
            <v>0</v>
          </cell>
          <cell r="H87">
            <v>116.66667</v>
          </cell>
          <cell r="I87">
            <v>116.66667</v>
          </cell>
        </row>
        <row r="88">
          <cell r="E88">
            <v>1202</v>
          </cell>
          <cell r="F88">
            <v>116.66667</v>
          </cell>
          <cell r="G88">
            <v>0</v>
          </cell>
          <cell r="H88">
            <v>116.66667</v>
          </cell>
          <cell r="I88">
            <v>116.66667</v>
          </cell>
        </row>
        <row r="89">
          <cell r="E89">
            <v>1300</v>
          </cell>
          <cell r="F89">
            <v>93.333330000000004</v>
          </cell>
          <cell r="G89">
            <v>0</v>
          </cell>
          <cell r="H89">
            <v>93.333330000000004</v>
          </cell>
          <cell r="I89">
            <v>93.333330000000004</v>
          </cell>
        </row>
        <row r="90">
          <cell r="E90">
            <v>1301</v>
          </cell>
          <cell r="F90">
            <v>46.666670000000003</v>
          </cell>
          <cell r="G90">
            <v>0</v>
          </cell>
          <cell r="H90">
            <v>46.666670000000003</v>
          </cell>
          <cell r="I90">
            <v>46.666670000000003</v>
          </cell>
        </row>
        <row r="91">
          <cell r="E91">
            <v>1302</v>
          </cell>
          <cell r="F91">
            <v>46.666670000000003</v>
          </cell>
          <cell r="G91">
            <v>0</v>
          </cell>
          <cell r="H91">
            <v>46.666670000000003</v>
          </cell>
          <cell r="I91">
            <v>46.666670000000003</v>
          </cell>
        </row>
        <row r="92">
          <cell r="E92">
            <v>0</v>
          </cell>
          <cell r="F92">
            <v>0</v>
          </cell>
          <cell r="G92">
            <v>0</v>
          </cell>
          <cell r="H92">
            <v>0</v>
          </cell>
          <cell r="I92">
            <v>0</v>
          </cell>
        </row>
        <row r="93">
          <cell r="E93">
            <v>1400</v>
          </cell>
          <cell r="F93">
            <v>93.333330000000004</v>
          </cell>
          <cell r="G93">
            <v>9</v>
          </cell>
          <cell r="H93">
            <v>84.333330000000004</v>
          </cell>
          <cell r="I93">
            <v>93.333330000000004</v>
          </cell>
        </row>
        <row r="94">
          <cell r="E94">
            <v>1411</v>
          </cell>
          <cell r="F94">
            <v>28</v>
          </cell>
          <cell r="G94">
            <v>0</v>
          </cell>
          <cell r="H94">
            <v>28</v>
          </cell>
          <cell r="I94">
            <v>28</v>
          </cell>
        </row>
        <row r="95">
          <cell r="E95">
            <v>1421</v>
          </cell>
          <cell r="F95">
            <v>51.333329999999997</v>
          </cell>
          <cell r="G95">
            <v>0</v>
          </cell>
          <cell r="H95">
            <v>51.333329999999997</v>
          </cell>
          <cell r="I95">
            <v>51.333329999999997</v>
          </cell>
        </row>
        <row r="96">
          <cell r="E96">
            <v>1431</v>
          </cell>
          <cell r="F96">
            <v>14</v>
          </cell>
          <cell r="G96">
            <v>9</v>
          </cell>
          <cell r="H96">
            <v>5</v>
          </cell>
          <cell r="I96">
            <v>14</v>
          </cell>
        </row>
        <row r="97">
          <cell r="E97">
            <v>1500</v>
          </cell>
          <cell r="F97">
            <v>0</v>
          </cell>
          <cell r="G97">
            <v>1.3333299999999999</v>
          </cell>
          <cell r="H97">
            <v>5.3333300000000001</v>
          </cell>
          <cell r="I97">
            <v>6.6666699999999999</v>
          </cell>
        </row>
        <row r="98">
          <cell r="E98">
            <v>1511</v>
          </cell>
          <cell r="F98">
            <v>0</v>
          </cell>
          <cell r="G98">
            <v>0</v>
          </cell>
          <cell r="H98">
            <v>5.3333300000000001</v>
          </cell>
          <cell r="I98">
            <v>5.3333300000000001</v>
          </cell>
        </row>
        <row r="99">
          <cell r="E99">
            <v>1521</v>
          </cell>
          <cell r="F99">
            <v>0</v>
          </cell>
          <cell r="G99">
            <v>1.3333299999999999</v>
          </cell>
          <cell r="H99">
            <v>0</v>
          </cell>
          <cell r="I99">
            <v>1.3333299999999999</v>
          </cell>
        </row>
        <row r="100">
          <cell r="E100">
            <v>1600</v>
          </cell>
          <cell r="F100">
            <v>140</v>
          </cell>
          <cell r="G100">
            <v>23.33333</v>
          </cell>
          <cell r="H100">
            <v>110</v>
          </cell>
          <cell r="I100">
            <v>133.33332999999999</v>
          </cell>
        </row>
        <row r="101">
          <cell r="E101">
            <v>1611</v>
          </cell>
          <cell r="F101">
            <v>84</v>
          </cell>
          <cell r="G101">
            <v>0</v>
          </cell>
          <cell r="H101">
            <v>80</v>
          </cell>
          <cell r="I101">
            <v>80</v>
          </cell>
        </row>
        <row r="102">
          <cell r="E102">
            <v>1621</v>
          </cell>
          <cell r="F102">
            <v>21</v>
          </cell>
          <cell r="G102">
            <v>20</v>
          </cell>
          <cell r="H102">
            <v>0</v>
          </cell>
          <cell r="I102">
            <v>20</v>
          </cell>
        </row>
        <row r="103">
          <cell r="E103">
            <v>1631</v>
          </cell>
          <cell r="F103">
            <v>28</v>
          </cell>
          <cell r="G103">
            <v>0</v>
          </cell>
          <cell r="H103">
            <v>26.66667</v>
          </cell>
          <cell r="I103">
            <v>26.66667</v>
          </cell>
        </row>
        <row r="104">
          <cell r="E104">
            <v>1641</v>
          </cell>
          <cell r="F104">
            <v>7</v>
          </cell>
          <cell r="G104">
            <v>3.3333300000000001</v>
          </cell>
          <cell r="H104">
            <v>3.3333300000000001</v>
          </cell>
          <cell r="I104">
            <v>6.6666699999999999</v>
          </cell>
        </row>
        <row r="105">
          <cell r="E105">
            <v>1700</v>
          </cell>
          <cell r="F105">
            <v>93.333330000000004</v>
          </cell>
          <cell r="G105">
            <v>0</v>
          </cell>
          <cell r="H105">
            <v>93.333330000000004</v>
          </cell>
          <cell r="I105">
            <v>93.333330000000004</v>
          </cell>
        </row>
        <row r="106">
          <cell r="E106">
            <v>0</v>
          </cell>
          <cell r="F106">
            <v>0</v>
          </cell>
          <cell r="G106">
            <v>0</v>
          </cell>
          <cell r="H106">
            <v>0</v>
          </cell>
          <cell r="I106">
            <v>0</v>
          </cell>
        </row>
        <row r="107">
          <cell r="E107">
            <v>1711</v>
          </cell>
          <cell r="F107">
            <v>39.666670000000003</v>
          </cell>
          <cell r="G107">
            <v>0</v>
          </cell>
          <cell r="H107">
            <v>39.666670000000003</v>
          </cell>
          <cell r="I107">
            <v>39.666670000000003</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l_onay"/>
      <sheetName val="imalat_icmal"/>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mal"/>
      <sheetName val="sıhhi"/>
      <sheetName val="kalorifer"/>
      <sheetName val="müşterek"/>
      <sheetName val="havalandırma"/>
      <sheetName val="Otomatik"/>
      <sheetName val="yangın "/>
      <sheetName val="Basınçlı hav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pak "/>
      <sheetName val="analiz"/>
      <sheetName val="KEŞİf"/>
      <sheetName val="(KEŞİf_ön)"/>
      <sheetName val="rayıc"/>
      <sheetName val="Metraj"/>
      <sheetName val="1,2-MENFEZ"/>
      <sheetName val="3-KURB KENAR_TAŞI"/>
      <sheetName val="8-İSTİNAD_DUVARI(B.ARME)"/>
      <sheetName val="4-H.KAPLAMA-DRNJ"/>
      <sheetName val="5-YERALTI-DRENAJI"/>
      <sheetName val="6-İKSA_DUVARI"/>
      <sheetName val="7-İSTİNAD_DUVARI(TAŞ)"/>
      <sheetName val="IZGARA"/>
      <sheetName val="BACA"/>
      <sheetName val="DRENAJ BORUSU"/>
      <sheetName val="ÜSTYAPI"/>
      <sheetName val="NOT,SORUL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2"/>
      <sheetName val="Sayfa1"/>
      <sheetName val="Sayfa3"/>
      <sheetName val="Sayfa4"/>
      <sheetName val="Sayfa5"/>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z"/>
      <sheetName val="BOQ-AGT Elektrik (Detaylı)"/>
      <sheetName val="PANOLAR"/>
      <sheetName val="Karşılaştırma-Güvenlik"/>
      <sheetName val="Karşılaştırma-Yangın"/>
      <sheetName val="generatör-trafo"/>
      <sheetName val="Pano-karşılaştırma"/>
      <sheetName val="Karşılaştırma-Ayd"/>
      <sheetName val="AGT-ELEKTRIK-KESIF ICMAL"/>
      <sheetName val="AGT-ELEKTRIK-MMK YA GÖRE KESİF"/>
    </sheetNames>
    <sheetDataSet>
      <sheetData sheetId="0" refreshError="1">
        <row r="83">
          <cell r="C83">
            <v>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Yangın Algılama Teklif Formu"/>
      <sheetName val="Otomasyon-O.Kontrol Teklif Form"/>
      <sheetName val="HEDC TP"/>
      <sheetName val="Katsayılar"/>
      <sheetName val="PRICE"/>
      <sheetName val="PL XBS1"/>
      <sheetName val="PL XBS2"/>
      <sheetName val="PL XBS3"/>
      <sheetName val="PL XBS-i1"/>
      <sheetName val="PL XBS-i2"/>
      <sheetName val="PL XBS-i3"/>
      <sheetName val="PL IntegrProd"/>
      <sheetName val="PL Misc"/>
      <sheetName val="PL XFI1"/>
      <sheetName val="PL XFI2"/>
      <sheetName val="PL XFI3"/>
      <sheetName val="PL XFI4"/>
      <sheetName val="PL XFI5"/>
      <sheetName val="PL XSM1"/>
      <sheetName val="PL XSM2"/>
      <sheetName val="PL XSM3"/>
      <sheetName val="PL PID"/>
      <sheetName val="PL To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 bilgiler"/>
      <sheetName val="Sayfa2"/>
      <sheetName val="imalat_icmal"/>
      <sheetName val="mal_onay"/>
    </sheetNames>
    <sheetDataSet>
      <sheetData sheetId="0" refreshError="1">
        <row r="2">
          <cell r="A2" t="str">
            <v>BO</v>
          </cell>
          <cell r="B2">
            <v>1077.557</v>
          </cell>
          <cell r="C2">
            <v>4050000</v>
          </cell>
        </row>
        <row r="3">
          <cell r="A3" t="str">
            <v>CO</v>
          </cell>
          <cell r="B3">
            <v>1346.0029999999999</v>
          </cell>
          <cell r="C3">
            <v>4050000</v>
          </cell>
        </row>
        <row r="4">
          <cell r="A4" t="str">
            <v>BK</v>
          </cell>
          <cell r="B4">
            <v>1085.028</v>
          </cell>
          <cell r="C4">
            <v>4350000</v>
          </cell>
        </row>
        <row r="5">
          <cell r="A5" t="str">
            <v>CK</v>
          </cell>
          <cell r="B5">
            <v>1353.4110000000001</v>
          </cell>
          <cell r="C5">
            <v>4330000</v>
          </cell>
        </row>
      </sheetData>
      <sheetData sheetId="1" refreshError="1"/>
      <sheetData sheetId="2" refreshError="1"/>
      <sheetData sheetId="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icmal"/>
      <sheetName val="KUR"/>
      <sheetName val="karşılaştırma"/>
      <sheetName val="döküm"/>
      <sheetName val="BOQ"/>
      <sheetName val="kanal"/>
      <sheetName val="Sayfa2"/>
      <sheetName val="POMPA"/>
      <sheetName val="Sayfa3"/>
    </sheetNames>
    <sheetDataSet>
      <sheetData sheetId="0" refreshError="1"/>
      <sheetData sheetId="1" refreshError="1"/>
      <sheetData sheetId="2" refreshError="1">
        <row r="2">
          <cell r="B2">
            <v>1.3089</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ŞİFF"/>
      <sheetName val="MAHAL_LISTESI"/>
      <sheetName val="BUTCE"/>
    </sheetNames>
    <sheetDataSet>
      <sheetData sheetId="0" refreshError="1"/>
      <sheetData sheetId="1" refreshError="1"/>
      <sheetData sheetId="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DIKES2"/>
      <sheetName val="GENEL ICMAL"/>
      <sheetName val="Sheet2"/>
      <sheetName val="demir"/>
      <sheetName val="OZET"/>
      <sheetName val="Mech. Summary"/>
      <sheetName val="Precios"/>
      <sheetName val="A "/>
      <sheetName val="KESİNTİ"/>
      <sheetName val="J3"/>
      <sheetName val="İCMAL"/>
      <sheetName val="cmbprdb"/>
      <sheetName val="antl_elek_poz_listesi.xls"/>
      <sheetName val="antl_elek_poz_listesi"/>
      <sheetName val="tahakkuk müzekkeresi_1"/>
      <sheetName val="Faturanızı Özelleştirin"/>
      <sheetName val="③赤紙(日文)"/>
      <sheetName val="Summary"/>
      <sheetName val="KATSAYI"/>
      <sheetName val="keşif özeti"/>
      <sheetName val="Лист1"/>
      <sheetName val="BASE MET"/>
      <sheetName val="HUD YOLU DUVAR 8 MT"/>
      <sheetName val="Mechanical Summary"/>
      <sheetName val="assets(aktif)"/>
      <sheetName val="GENEL_ICMAL"/>
      <sheetName val="Mech__Summary"/>
      <sheetName val="antl_elek_poz_listesi_xls"/>
      <sheetName val="BASE_MET"/>
      <sheetName val="A_"/>
      <sheetName val="Faturanızı_Özelleştirin"/>
      <sheetName val="keşif_özeti"/>
      <sheetName val="tahakkuk_müzekkeresi_1"/>
      <sheetName val="HUD_YOLU_DUVAR_8_MT"/>
      <sheetName val="Mechanical_Summary"/>
      <sheetName val="기계내역서"/>
      <sheetName val="Cash2"/>
      <sheetName val="Z"/>
      <sheetName val="imalat_icmal"/>
      <sheetName val="Sayfa1"/>
      <sheetName val="analiz"/>
      <sheetName val="HAKEDIS"/>
      <sheetName val="AGT V01"/>
      <sheetName val="RÜZGAR YÜKÜ HESAPLARI"/>
      <sheetName val="kesif"/>
      <sheetName val="sosyal tesisler"/>
      <sheetName val="GP1"/>
      <sheetName val="Katsayılar"/>
      <sheetName val="kur"/>
      <sheetName val="kapak"/>
      <sheetName val="HAR"/>
      <sheetName val="K.SAYI"/>
      <sheetName val="GENEL_ICMAL1"/>
      <sheetName val="Mech__Summary1"/>
      <sheetName val="antl_elek_poz_listesi_xls1"/>
      <sheetName val="BASE_MET1"/>
      <sheetName val="A_1"/>
      <sheetName val="Faturanızı_Özelleştirin1"/>
      <sheetName val="keşif_özeti1"/>
      <sheetName val="tahakkuk_müzekkeresi_11"/>
      <sheetName val="HUD_YOLU_DUVAR_8_MT1"/>
      <sheetName val="Mechanical_Summary1"/>
      <sheetName val="AGT_V01"/>
      <sheetName val="RÜZGAR_YÜKÜ_HESAPLARI"/>
      <sheetName val="sosyal_tesisler"/>
      <sheetName val="K_SAYI"/>
      <sheetName val="Adapazarı-Keşif"/>
      <sheetName val="KEMERİCMAL"/>
      <sheetName val="FT01-02(ANLZ)"/>
      <sheetName val="COEF"/>
      <sheetName val="Esleme_bilgi"/>
      <sheetName val="AN"/>
      <sheetName val="İŞ PROĞRAMI"/>
      <sheetName val="KEŞİF ÖZETİ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mal"/>
      <sheetName val="KEŞİF"/>
      <sheetName val="Analizler"/>
    </sheetNames>
    <sheetDataSet>
      <sheetData sheetId="0"/>
      <sheetData sheetId="1"/>
      <sheetData sheetId="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PAK"/>
      <sheetName val="ELEKTRİK KEŞİF"/>
      <sheetName val="ELEKTRİK METRAJ"/>
      <sheetName val="MALZ. MARKA LISTESI"/>
    </sheet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mal"/>
      <sheetName val="KEŞİF"/>
      <sheetName val="Analiz"/>
    </sheetNames>
    <sheetDataSet>
      <sheetData sheetId="0"/>
      <sheetData sheetId="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PAK"/>
      <sheetName val="KEŞİF"/>
      <sheetName val="MAHAL_LISTESI"/>
      <sheetName val="BUTCE "/>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YIF AKIM KESFI"/>
      <sheetName val="KAPAK"/>
      <sheetName val="KUVVETLI AKIM KESFI"/>
      <sheetName val="ORTA GERİLİM"/>
      <sheetName val="icmal"/>
      <sheetName val="ELEKTRİK MARKA"/>
      <sheetName val="SubmitCal"/>
      <sheetName val="cover"/>
      <sheetName val="KADIKES2"/>
      <sheetName val="kesif"/>
      <sheetName val="Rate"/>
      <sheetName val="Tablo 3-Bankalar"/>
      <sheetName val="arka kapak"/>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5476E-4C15-4D22-95EF-784C4F3136B0}">
  <sheetPr>
    <tabColor rgb="FFFF0000"/>
  </sheetPr>
  <dimension ref="B1:AN36"/>
  <sheetViews>
    <sheetView view="pageBreakPreview" zoomScale="85" zoomScaleNormal="85" zoomScaleSheetLayoutView="85" workbookViewId="0">
      <selection activeCell="C9" sqref="C9"/>
    </sheetView>
  </sheetViews>
  <sheetFormatPr defaultRowHeight="12.75"/>
  <cols>
    <col min="1" max="1" width="1.85546875" customWidth="1"/>
    <col min="2" max="2" width="12" style="10" customWidth="1"/>
    <col min="3" max="3" width="62" style="10" customWidth="1"/>
    <col min="4" max="7" width="25.5703125" style="11" customWidth="1"/>
    <col min="8" max="8" width="3" style="5" customWidth="1"/>
  </cols>
  <sheetData>
    <row r="1" spans="2:40" ht="15.6" customHeight="1" thickBot="1">
      <c r="B1" s="214"/>
      <c r="C1" s="214"/>
      <c r="D1" s="214"/>
      <c r="E1" s="214"/>
      <c r="F1" s="214"/>
      <c r="G1" s="214"/>
    </row>
    <row r="2" spans="2:40" s="2" customFormat="1" ht="50.1" customHeight="1" thickBot="1">
      <c r="B2" s="215"/>
      <c r="C2" s="215"/>
      <c r="D2" s="215"/>
      <c r="E2" s="215"/>
      <c r="F2" s="215"/>
      <c r="G2" s="215"/>
      <c r="H2" s="6"/>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2:40" s="3" customFormat="1" ht="50.1" customHeight="1" thickBot="1">
      <c r="B3" s="209" t="s">
        <v>2277</v>
      </c>
      <c r="C3" s="192" t="s">
        <v>1</v>
      </c>
      <c r="D3" s="193" t="s">
        <v>418</v>
      </c>
      <c r="E3" s="193" t="s">
        <v>419</v>
      </c>
      <c r="F3" s="193" t="s">
        <v>420</v>
      </c>
      <c r="G3" s="194" t="s">
        <v>4</v>
      </c>
      <c r="H3" s="7"/>
    </row>
    <row r="4" spans="2:40" s="4" customFormat="1" ht="30" customHeight="1" thickBot="1">
      <c r="B4" s="13" t="s">
        <v>5</v>
      </c>
      <c r="C4" s="14" t="s">
        <v>25</v>
      </c>
      <c r="D4" s="15">
        <f>'KEŞİF LİSTESİ'!H846</f>
        <v>0</v>
      </c>
      <c r="E4" s="15">
        <f>'KEŞİF LİSTESİ'!I846</f>
        <v>0</v>
      </c>
      <c r="F4" s="15">
        <f>'KEŞİF LİSTESİ'!J846</f>
        <v>0</v>
      </c>
      <c r="G4" s="15">
        <f>'KEŞİF LİSTESİ'!L846</f>
        <v>0</v>
      </c>
      <c r="H4" s="8"/>
    </row>
    <row r="5" spans="2:40" s="4" customFormat="1" ht="30" customHeight="1" thickBot="1">
      <c r="B5" s="13" t="s">
        <v>6</v>
      </c>
      <c r="C5" s="14" t="s">
        <v>27</v>
      </c>
      <c r="D5" s="15">
        <f>'KEŞİF LİSTESİ'!H908</f>
        <v>0</v>
      </c>
      <c r="E5" s="15">
        <f>'KEŞİF LİSTESİ'!I908</f>
        <v>0</v>
      </c>
      <c r="F5" s="15">
        <f>'KEŞİF LİSTESİ'!J908</f>
        <v>0</v>
      </c>
      <c r="G5" s="15">
        <f>'KEŞİF LİSTESİ'!L908</f>
        <v>0</v>
      </c>
      <c r="H5" s="8"/>
    </row>
    <row r="6" spans="2:40" s="4" customFormat="1" ht="30" customHeight="1" thickBot="1">
      <c r="B6" s="13" t="s">
        <v>7</v>
      </c>
      <c r="C6" s="14" t="s">
        <v>374</v>
      </c>
      <c r="D6" s="15">
        <f>'KEŞİF LİSTESİ'!H987</f>
        <v>0</v>
      </c>
      <c r="E6" s="15">
        <f>'KEŞİF LİSTESİ'!I987</f>
        <v>0</v>
      </c>
      <c r="F6" s="15">
        <f>'KEŞİF LİSTESİ'!J987</f>
        <v>0</v>
      </c>
      <c r="G6" s="15">
        <f>'KEŞİF LİSTESİ'!L987</f>
        <v>0</v>
      </c>
      <c r="H6" s="8"/>
    </row>
    <row r="7" spans="2:40" s="4" customFormat="1" ht="30" customHeight="1" thickBot="1">
      <c r="B7" s="13" t="s">
        <v>8</v>
      </c>
      <c r="C7" s="14" t="s">
        <v>47</v>
      </c>
      <c r="D7" s="15">
        <f>'KEŞİF LİSTESİ'!H1014</f>
        <v>0</v>
      </c>
      <c r="E7" s="15">
        <f>'KEŞİF LİSTESİ'!I1014</f>
        <v>0</v>
      </c>
      <c r="F7" s="15">
        <f>'KEŞİF LİSTESİ'!J1014</f>
        <v>0</v>
      </c>
      <c r="G7" s="15">
        <f>+'KEŞİF LİSTESİ'!L1014</f>
        <v>0</v>
      </c>
      <c r="H7" s="8"/>
    </row>
    <row r="8" spans="2:40" s="4" customFormat="1" ht="30" customHeight="1" thickBot="1">
      <c r="B8" s="13" t="s">
        <v>9</v>
      </c>
      <c r="C8" s="14" t="s">
        <v>376</v>
      </c>
      <c r="D8" s="15">
        <f>'KEŞİF LİSTESİ'!H1043</f>
        <v>0</v>
      </c>
      <c r="E8" s="15">
        <f>'KEŞİF LİSTESİ'!I1043</f>
        <v>0</v>
      </c>
      <c r="F8" s="15">
        <f>'KEŞİF LİSTESİ'!J1043</f>
        <v>0</v>
      </c>
      <c r="G8" s="15">
        <f>+'KEŞİF LİSTESİ'!L1043</f>
        <v>0</v>
      </c>
      <c r="H8" s="8"/>
    </row>
    <row r="9" spans="2:40" s="4" customFormat="1" ht="30" customHeight="1" thickBot="1">
      <c r="B9" s="13" t="s">
        <v>10</v>
      </c>
      <c r="C9" s="14" t="str">
        <f>'KEŞİF LİSTESİ'!D1045</f>
        <v>BUSBAR ve ASKI DESTEK SİSTEMİ</v>
      </c>
      <c r="D9" s="15">
        <f>+'KEŞİF LİSTESİ'!H1165</f>
        <v>0</v>
      </c>
      <c r="E9" s="15">
        <f>+'KEŞİF LİSTESİ'!I1165</f>
        <v>0</v>
      </c>
      <c r="F9" s="15">
        <f>+'KEŞİF LİSTESİ'!J1165</f>
        <v>0</v>
      </c>
      <c r="G9" s="15">
        <f>+'KEŞİF LİSTESİ'!L1165</f>
        <v>0</v>
      </c>
      <c r="H9" s="8"/>
    </row>
    <row r="10" spans="2:40" s="4" customFormat="1" ht="30" customHeight="1" thickBot="1">
      <c r="B10" s="13" t="s">
        <v>11</v>
      </c>
      <c r="C10" s="14" t="s">
        <v>68</v>
      </c>
      <c r="D10" s="210" t="s">
        <v>2310</v>
      </c>
      <c r="E10" s="15">
        <f>+'KEŞİF LİSTESİ'!I1194</f>
        <v>0</v>
      </c>
      <c r="F10" s="15">
        <f>+'KEŞİF LİSTESİ'!J1194</f>
        <v>0</v>
      </c>
      <c r="G10" s="15">
        <f>+'KEŞİF LİSTESİ'!L1194</f>
        <v>0</v>
      </c>
      <c r="H10" s="8"/>
    </row>
    <row r="11" spans="2:40" s="4" customFormat="1" ht="30" customHeight="1" thickBot="1">
      <c r="B11" s="13" t="s">
        <v>12</v>
      </c>
      <c r="C11" s="14" t="s">
        <v>397</v>
      </c>
      <c r="D11" s="15">
        <f>+'KEŞİF LİSTESİ'!H1217</f>
        <v>0</v>
      </c>
      <c r="E11" s="15">
        <f>+'KEŞİF LİSTESİ'!I1217</f>
        <v>0</v>
      </c>
      <c r="F11" s="15">
        <f>+'KEŞİF LİSTESİ'!J1217</f>
        <v>0</v>
      </c>
      <c r="G11" s="15">
        <f>+'KEŞİF LİSTESİ'!L1217</f>
        <v>0</v>
      </c>
      <c r="H11" s="8"/>
    </row>
    <row r="12" spans="2:40" s="4" customFormat="1" ht="30" customHeight="1" thickBot="1">
      <c r="B12" s="13" t="s">
        <v>166</v>
      </c>
      <c r="C12" s="14" t="s">
        <v>78</v>
      </c>
      <c r="D12" s="15">
        <f>+'KEŞİF LİSTESİ'!H1225</f>
        <v>0</v>
      </c>
      <c r="E12" s="15">
        <f>+'KEŞİF LİSTESİ'!I1225</f>
        <v>0</v>
      </c>
      <c r="F12" s="15">
        <f>+'KEŞİF LİSTESİ'!J1225</f>
        <v>0</v>
      </c>
      <c r="G12" s="15">
        <f>+'KEŞİF LİSTESİ'!L1225</f>
        <v>0</v>
      </c>
      <c r="H12" s="8"/>
    </row>
    <row r="13" spans="2:40" s="4" customFormat="1" ht="30" customHeight="1" thickBot="1">
      <c r="B13" s="13" t="s">
        <v>13</v>
      </c>
      <c r="C13" s="14" t="s">
        <v>404</v>
      </c>
      <c r="D13" s="15">
        <f>+'KEŞİF LİSTESİ'!H1269</f>
        <v>0</v>
      </c>
      <c r="E13" s="15">
        <f>+'KEŞİF LİSTESİ'!I1269</f>
        <v>0</v>
      </c>
      <c r="F13" s="15">
        <f>+'KEŞİF LİSTESİ'!J1269</f>
        <v>0</v>
      </c>
      <c r="G13" s="15">
        <f>+'KEŞİF LİSTESİ'!L1269</f>
        <v>0</v>
      </c>
      <c r="H13" s="8"/>
    </row>
    <row r="14" spans="2:40" s="4" customFormat="1" ht="30" customHeight="1" thickBot="1">
      <c r="B14" s="13" t="s">
        <v>14</v>
      </c>
      <c r="C14" s="14" t="s">
        <v>409</v>
      </c>
      <c r="D14" s="15">
        <f>+'KEŞİF LİSTESİ'!H1302</f>
        <v>0</v>
      </c>
      <c r="E14" s="15">
        <f>+'KEŞİF LİSTESİ'!I1302</f>
        <v>0</v>
      </c>
      <c r="F14" s="15">
        <f>+'KEŞİF LİSTESİ'!J1302</f>
        <v>0</v>
      </c>
      <c r="G14" s="15">
        <f>+'KEŞİF LİSTESİ'!L1302</f>
        <v>0</v>
      </c>
      <c r="H14" s="8"/>
    </row>
    <row r="15" spans="2:40" s="4" customFormat="1" ht="30" customHeight="1" thickBot="1">
      <c r="B15" s="13" t="s">
        <v>15</v>
      </c>
      <c r="C15" s="14" t="s">
        <v>408</v>
      </c>
      <c r="D15" s="15">
        <f>+'KEŞİF LİSTESİ'!H1346</f>
        <v>0</v>
      </c>
      <c r="E15" s="15">
        <f>+'KEŞİF LİSTESİ'!I1346</f>
        <v>0</v>
      </c>
      <c r="F15" s="15">
        <f>+'KEŞİF LİSTESİ'!J1346</f>
        <v>0</v>
      </c>
      <c r="G15" s="15">
        <f>+'KEŞİF LİSTESİ'!L1346</f>
        <v>0</v>
      </c>
      <c r="H15" s="8"/>
    </row>
    <row r="16" spans="2:40" s="4" customFormat="1" ht="30" customHeight="1" thickBot="1">
      <c r="B16" s="13" t="s">
        <v>16</v>
      </c>
      <c r="C16" s="14" t="s">
        <v>407</v>
      </c>
      <c r="D16" s="15">
        <f>+'KEŞİF LİSTESİ'!H1373</f>
        <v>0</v>
      </c>
      <c r="E16" s="15">
        <f>+'KEŞİF LİSTESİ'!I1373</f>
        <v>0</v>
      </c>
      <c r="F16" s="15">
        <f>+'KEŞİF LİSTESİ'!J1373</f>
        <v>0</v>
      </c>
      <c r="G16" s="15">
        <f>+'KEŞİF LİSTESİ'!L1373</f>
        <v>0</v>
      </c>
      <c r="H16" s="8"/>
    </row>
    <row r="17" spans="2:8" s="4" customFormat="1" ht="30" customHeight="1" thickBot="1">
      <c r="B17" s="13" t="s">
        <v>17</v>
      </c>
      <c r="C17" s="14" t="s">
        <v>406</v>
      </c>
      <c r="D17" s="15">
        <f>+'KEŞİF LİSTESİ'!H1395</f>
        <v>0</v>
      </c>
      <c r="E17" s="15">
        <f>+'KEŞİF LİSTESİ'!I1395</f>
        <v>0</v>
      </c>
      <c r="F17" s="15">
        <f>+'KEŞİF LİSTESİ'!J1395</f>
        <v>0</v>
      </c>
      <c r="G17" s="15">
        <f>+'KEŞİF LİSTESİ'!L1395</f>
        <v>0</v>
      </c>
      <c r="H17" s="8"/>
    </row>
    <row r="18" spans="2:8" s="4" customFormat="1" ht="30" customHeight="1" thickBot="1">
      <c r="B18" s="13" t="s">
        <v>203</v>
      </c>
      <c r="C18" s="14" t="s">
        <v>405</v>
      </c>
      <c r="D18" s="15">
        <f>+'KEŞİF LİSTESİ'!H1418</f>
        <v>0</v>
      </c>
      <c r="E18" s="15">
        <f>+'KEŞİF LİSTESİ'!I1418</f>
        <v>0</v>
      </c>
      <c r="F18" s="15">
        <f>+'KEŞİF LİSTESİ'!J1418</f>
        <v>0</v>
      </c>
      <c r="G18" s="15">
        <f>+'KEŞİF LİSTESİ'!L1418</f>
        <v>0</v>
      </c>
      <c r="H18" s="8"/>
    </row>
    <row r="19" spans="2:8" s="4" customFormat="1" ht="30" customHeight="1" thickBot="1">
      <c r="B19" s="13" t="s">
        <v>302</v>
      </c>
      <c r="C19" s="14" t="s">
        <v>2276</v>
      </c>
      <c r="D19" s="15">
        <f>+'KEŞİF LİSTESİ'!H1426</f>
        <v>0</v>
      </c>
      <c r="E19" s="15">
        <f>+'KEŞİF LİSTESİ'!I1426</f>
        <v>0</v>
      </c>
      <c r="F19" s="15">
        <f>+'KEŞİF LİSTESİ'!J1426</f>
        <v>0</v>
      </c>
      <c r="G19" s="15">
        <f>+'KEŞİF LİSTESİ'!L1426</f>
        <v>0</v>
      </c>
      <c r="H19" s="8"/>
    </row>
    <row r="20" spans="2:8" s="4" customFormat="1" ht="30" customHeight="1" thickBot="1">
      <c r="B20" s="13" t="s">
        <v>796</v>
      </c>
      <c r="C20" s="14" t="s">
        <v>2170</v>
      </c>
      <c r="D20" s="15">
        <f>'KEŞİF LİSTESİ'!H1621</f>
        <v>0</v>
      </c>
      <c r="E20" s="15">
        <f>'KEŞİF LİSTESİ'!I1621</f>
        <v>0</v>
      </c>
      <c r="F20" s="15">
        <f>'KEŞİF LİSTESİ'!J1621</f>
        <v>0</v>
      </c>
      <c r="G20" s="15">
        <f>+'KEŞİF LİSTESİ'!L1621</f>
        <v>0</v>
      </c>
      <c r="H20" s="8"/>
    </row>
    <row r="21" spans="2:8" s="4" customFormat="1" ht="7.15" customHeight="1" thickBot="1">
      <c r="B21" s="189"/>
      <c r="C21" s="190"/>
      <c r="D21" s="191"/>
      <c r="E21" s="191"/>
      <c r="F21" s="191"/>
      <c r="G21" s="191"/>
      <c r="H21" s="8"/>
    </row>
    <row r="22" spans="2:8" ht="24.95" customHeight="1" thickBot="1">
      <c r="B22" s="216" t="s">
        <v>18</v>
      </c>
      <c r="C22" s="216"/>
      <c r="D22" s="217">
        <f>SUM(D4:D20)</f>
        <v>0</v>
      </c>
      <c r="E22" s="217">
        <f>SUM(E4:E20)</f>
        <v>0</v>
      </c>
      <c r="F22" s="217">
        <f>SUM(F4:F20)</f>
        <v>0</v>
      </c>
      <c r="G22" s="217">
        <f>SUM(G4:G20)</f>
        <v>0</v>
      </c>
    </row>
    <row r="23" spans="2:8" ht="24.95" customHeight="1" thickBot="1">
      <c r="B23" s="216"/>
      <c r="C23" s="216"/>
      <c r="D23" s="217"/>
      <c r="E23" s="217"/>
      <c r="F23" s="217"/>
      <c r="G23" s="217"/>
    </row>
    <row r="24" spans="2:8" ht="20.100000000000001" customHeight="1">
      <c r="B24" s="9"/>
    </row>
    <row r="25" spans="2:8" ht="20.100000000000001" customHeight="1">
      <c r="B25" s="9"/>
    </row>
    <row r="26" spans="2:8" ht="20.100000000000001" customHeight="1" thickBot="1">
      <c r="B26" s="12"/>
      <c r="C26" s="219"/>
      <c r="D26" s="219"/>
      <c r="E26" s="219"/>
      <c r="F26" s="219"/>
      <c r="G26" s="219"/>
    </row>
    <row r="27" spans="2:8" ht="20.100000000000001" customHeight="1">
      <c r="B27" s="9"/>
      <c r="C27" s="218"/>
      <c r="D27" s="218"/>
      <c r="E27" s="218"/>
      <c r="F27" s="218"/>
      <c r="G27" s="218"/>
    </row>
    <row r="28" spans="2:8" ht="20.100000000000001" customHeight="1">
      <c r="B28" s="9"/>
      <c r="C28" s="218"/>
      <c r="D28" s="218"/>
      <c r="E28" s="218"/>
      <c r="F28" s="218"/>
      <c r="G28" s="218"/>
    </row>
    <row r="29" spans="2:8" ht="20.100000000000001" customHeight="1">
      <c r="B29" s="9"/>
      <c r="C29" s="218"/>
      <c r="D29" s="218"/>
      <c r="E29" s="218"/>
      <c r="F29" s="218"/>
      <c r="G29" s="218"/>
    </row>
    <row r="30" spans="2:8" ht="20.100000000000001" customHeight="1">
      <c r="B30" s="9"/>
      <c r="C30" s="218"/>
      <c r="D30" s="218"/>
      <c r="E30" s="218"/>
      <c r="F30" s="218"/>
      <c r="G30" s="218"/>
    </row>
    <row r="31" spans="2:8" ht="20.100000000000001" customHeight="1">
      <c r="B31" s="9"/>
      <c r="C31" s="218"/>
      <c r="D31" s="218"/>
      <c r="E31" s="218"/>
      <c r="F31" s="218"/>
      <c r="G31" s="218"/>
    </row>
    <row r="32" spans="2:8" ht="20.100000000000001" customHeight="1">
      <c r="B32" s="9"/>
      <c r="C32" s="218"/>
      <c r="D32" s="218"/>
      <c r="E32" s="218"/>
      <c r="F32" s="218"/>
      <c r="G32" s="218"/>
    </row>
    <row r="33" spans="2:7" ht="20.100000000000001" customHeight="1">
      <c r="B33" s="9"/>
      <c r="C33" s="218"/>
      <c r="D33" s="218"/>
      <c r="E33" s="218"/>
      <c r="F33" s="218"/>
      <c r="G33" s="218"/>
    </row>
    <row r="34" spans="2:7" ht="20.100000000000001" customHeight="1">
      <c r="B34" s="9"/>
      <c r="C34" s="218"/>
      <c r="D34" s="218"/>
      <c r="E34" s="218"/>
      <c r="F34" s="218"/>
      <c r="G34" s="218"/>
    </row>
    <row r="35" spans="2:7" ht="20.100000000000001" customHeight="1">
      <c r="B35" s="9"/>
    </row>
    <row r="36" spans="2:7" ht="20.100000000000001" customHeight="1"/>
  </sheetData>
  <sheetProtection selectLockedCells="1" selectUnlockedCells="1"/>
  <mergeCells count="16">
    <mergeCell ref="C33:G33"/>
    <mergeCell ref="C34:G34"/>
    <mergeCell ref="C31:G31"/>
    <mergeCell ref="C28:G28"/>
    <mergeCell ref="C27:G27"/>
    <mergeCell ref="C26:G26"/>
    <mergeCell ref="C30:G30"/>
    <mergeCell ref="C29:G29"/>
    <mergeCell ref="C32:G32"/>
    <mergeCell ref="B1:G1"/>
    <mergeCell ref="B2:G2"/>
    <mergeCell ref="B22:C23"/>
    <mergeCell ref="D22:D23"/>
    <mergeCell ref="E22:E23"/>
    <mergeCell ref="G22:G23"/>
    <mergeCell ref="F22:F23"/>
  </mergeCells>
  <pageMargins left="0.7" right="0.7" top="0.75" bottom="0.75" header="0.51180555555555551" footer="0.51180555555555551"/>
  <pageSetup paperSize="9" scale="50"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6D4D-1921-417A-87A1-ABADBDF2EA13}">
  <sheetPr>
    <tabColor rgb="FF00B0F0"/>
    <pageSetUpPr fitToPage="1"/>
  </sheetPr>
  <dimension ref="C1:CY1624"/>
  <sheetViews>
    <sheetView tabSelected="1" view="pageBreakPreview" zoomScale="55" zoomScaleNormal="100" zoomScaleSheetLayoutView="55" workbookViewId="0">
      <pane xSplit="6" ySplit="3" topLeftCell="G204" activePane="bottomRight" state="frozen"/>
      <selection pane="topRight" activeCell="E1" sqref="E1"/>
      <selection pane="bottomLeft" activeCell="A6" sqref="A6"/>
      <selection pane="bottomRight" activeCell="D760" sqref="D760"/>
    </sheetView>
  </sheetViews>
  <sheetFormatPr defaultRowHeight="18.75"/>
  <cols>
    <col min="1" max="1" width="2.28515625" style="19" customWidth="1"/>
    <col min="2" max="2" width="4.140625" style="19" customWidth="1"/>
    <col min="3" max="3" width="12.7109375" style="17" customWidth="1"/>
    <col min="4" max="4" width="164.5703125" style="19" customWidth="1"/>
    <col min="5" max="5" width="60.42578125" style="17" customWidth="1"/>
    <col min="6" max="6" width="16.5703125" style="17" customWidth="1"/>
    <col min="7" max="7" width="14.5703125" style="17" customWidth="1"/>
    <col min="8" max="8" width="34.7109375" style="18" customWidth="1"/>
    <col min="9" max="12" width="32.140625" style="18" customWidth="1"/>
    <col min="13" max="15" width="9.140625" style="19" customWidth="1"/>
    <col min="16" max="16384" width="9.140625" style="19"/>
  </cols>
  <sheetData>
    <row r="1" spans="3:103" ht="9" customHeight="1" thickBot="1">
      <c r="C1" s="220"/>
      <c r="D1" s="220"/>
      <c r="E1" s="16"/>
    </row>
    <row r="2" spans="3:103" s="20" customFormat="1" ht="57" customHeight="1" thickBot="1">
      <c r="C2" s="223"/>
      <c r="D2" s="224"/>
      <c r="E2" s="224"/>
      <c r="F2" s="224"/>
      <c r="G2" s="224"/>
      <c r="H2" s="224"/>
      <c r="I2" s="224"/>
      <c r="J2" s="224"/>
      <c r="K2" s="224"/>
      <c r="L2" s="225"/>
    </row>
    <row r="3" spans="3:103" s="20" customFormat="1" ht="48.75" customHeight="1" thickBot="1">
      <c r="C3" s="21" t="s">
        <v>0</v>
      </c>
      <c r="D3" s="22" t="s">
        <v>1</v>
      </c>
      <c r="E3" s="23" t="s">
        <v>410</v>
      </c>
      <c r="F3" s="23" t="s">
        <v>2</v>
      </c>
      <c r="G3" s="23" t="s">
        <v>3</v>
      </c>
      <c r="H3" s="24" t="s">
        <v>19</v>
      </c>
      <c r="I3" s="24" t="s">
        <v>20</v>
      </c>
      <c r="J3" s="24" t="s">
        <v>373</v>
      </c>
      <c r="K3" s="24" t="s">
        <v>21</v>
      </c>
      <c r="L3" s="24" t="s">
        <v>22</v>
      </c>
    </row>
    <row r="4" spans="3:103" s="34" customFormat="1" ht="30" customHeight="1">
      <c r="C4" s="25" t="s">
        <v>23</v>
      </c>
      <c r="D4" s="26" t="s">
        <v>24</v>
      </c>
      <c r="E4" s="27"/>
      <c r="F4" s="28"/>
      <c r="G4" s="29"/>
      <c r="H4" s="30"/>
      <c r="I4" s="31"/>
      <c r="J4" s="31"/>
      <c r="K4" s="32"/>
      <c r="L4" s="33"/>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row>
    <row r="5" spans="3:103" s="35" customFormat="1" ht="15" customHeight="1">
      <c r="C5" s="25" t="s">
        <v>5</v>
      </c>
      <c r="D5" s="26" t="s">
        <v>25</v>
      </c>
      <c r="E5" s="27"/>
      <c r="F5" s="28"/>
      <c r="G5" s="29"/>
      <c r="H5" s="30"/>
      <c r="I5" s="31"/>
      <c r="J5" s="31"/>
      <c r="K5" s="32"/>
      <c r="L5" s="33"/>
    </row>
    <row r="6" spans="3:103" s="35" customFormat="1" ht="201.6" customHeight="1">
      <c r="C6" s="25"/>
      <c r="D6" s="26" t="s">
        <v>431</v>
      </c>
      <c r="E6" s="27"/>
      <c r="F6" s="28"/>
      <c r="G6" s="29"/>
      <c r="H6" s="30"/>
      <c r="I6" s="31"/>
      <c r="J6" s="31"/>
      <c r="K6" s="32"/>
      <c r="L6" s="33"/>
    </row>
    <row r="7" spans="3:103" s="35" customFormat="1" ht="22.15" customHeight="1">
      <c r="C7" s="25"/>
      <c r="D7" s="26" t="s">
        <v>1015</v>
      </c>
      <c r="E7" s="27"/>
      <c r="F7" s="28"/>
      <c r="G7" s="29"/>
      <c r="H7" s="36"/>
      <c r="I7" s="37"/>
      <c r="J7" s="37"/>
      <c r="K7" s="38"/>
      <c r="L7" s="33"/>
    </row>
    <row r="8" spans="3:103" s="35" customFormat="1" ht="76.150000000000006" customHeight="1">
      <c r="C8" s="25"/>
      <c r="D8" s="26" t="s">
        <v>2117</v>
      </c>
      <c r="E8" s="27"/>
      <c r="F8" s="28"/>
      <c r="G8" s="29"/>
      <c r="H8" s="36"/>
      <c r="I8" s="37"/>
      <c r="J8" s="37"/>
      <c r="K8" s="38"/>
      <c r="L8" s="33"/>
    </row>
    <row r="9" spans="3:103" s="35" customFormat="1" ht="22.15" customHeight="1">
      <c r="C9" s="25"/>
      <c r="D9" s="26" t="s">
        <v>2127</v>
      </c>
      <c r="E9" s="27"/>
      <c r="F9" s="28"/>
      <c r="G9" s="29"/>
      <c r="H9" s="36"/>
      <c r="I9" s="37"/>
      <c r="J9" s="37"/>
      <c r="K9" s="38"/>
      <c r="L9" s="33"/>
    </row>
    <row r="10" spans="3:103" s="53" customFormat="1">
      <c r="C10" s="46"/>
      <c r="D10" s="47"/>
      <c r="E10" s="48"/>
      <c r="F10" s="48"/>
      <c r="G10" s="49"/>
      <c r="H10" s="50"/>
      <c r="I10" s="50"/>
      <c r="J10" s="50"/>
      <c r="K10" s="50"/>
      <c r="L10" s="52"/>
    </row>
    <row r="11" spans="3:103" s="53" customFormat="1" ht="27" customHeight="1">
      <c r="C11" s="207" t="s">
        <v>23</v>
      </c>
      <c r="D11" s="159" t="s">
        <v>2248</v>
      </c>
      <c r="E11" s="48"/>
      <c r="F11" s="48"/>
      <c r="G11" s="49"/>
      <c r="H11" s="50"/>
      <c r="I11" s="50"/>
      <c r="J11" s="50"/>
      <c r="K11" s="50"/>
      <c r="L11" s="52"/>
    </row>
    <row r="12" spans="3:103" s="53" customFormat="1" ht="27" customHeight="1">
      <c r="C12" s="46"/>
      <c r="D12" s="47"/>
      <c r="E12" s="48"/>
      <c r="F12" s="48"/>
      <c r="G12" s="49"/>
      <c r="H12" s="50"/>
      <c r="I12" s="50"/>
      <c r="J12" s="50"/>
      <c r="K12" s="50"/>
      <c r="L12" s="52"/>
    </row>
    <row r="13" spans="3:103" s="53" customFormat="1" ht="27" customHeight="1">
      <c r="C13" s="46" t="s">
        <v>5</v>
      </c>
      <c r="D13" s="47" t="s">
        <v>2227</v>
      </c>
      <c r="E13" s="48" t="s">
        <v>351</v>
      </c>
      <c r="F13" s="48" t="s">
        <v>378</v>
      </c>
      <c r="G13" s="49">
        <v>1</v>
      </c>
      <c r="H13" s="50">
        <v>0</v>
      </c>
      <c r="I13" s="50">
        <v>0</v>
      </c>
      <c r="J13" s="50">
        <v>0</v>
      </c>
      <c r="K13" s="50">
        <f t="shared" ref="K13:K71" si="0">+H13+I13+J13</f>
        <v>0</v>
      </c>
      <c r="L13" s="52">
        <f t="shared" ref="L13:L71" si="1">+G13*K13</f>
        <v>0</v>
      </c>
    </row>
    <row r="14" spans="3:103" s="53" customFormat="1" ht="27" customHeight="1">
      <c r="C14" s="46" t="s">
        <v>6</v>
      </c>
      <c r="D14" s="47" t="s">
        <v>1017</v>
      </c>
      <c r="E14" s="48" t="s">
        <v>351</v>
      </c>
      <c r="F14" s="48" t="s">
        <v>378</v>
      </c>
      <c r="G14" s="49">
        <v>1</v>
      </c>
      <c r="H14" s="50">
        <v>0</v>
      </c>
      <c r="I14" s="50">
        <v>0</v>
      </c>
      <c r="J14" s="50">
        <v>0</v>
      </c>
      <c r="K14" s="50">
        <f t="shared" si="0"/>
        <v>0</v>
      </c>
      <c r="L14" s="52">
        <f t="shared" si="1"/>
        <v>0</v>
      </c>
    </row>
    <row r="15" spans="3:103" s="53" customFormat="1" ht="27" customHeight="1">
      <c r="C15" s="46" t="s">
        <v>7</v>
      </c>
      <c r="D15" s="47" t="s">
        <v>1018</v>
      </c>
      <c r="E15" s="48" t="s">
        <v>1865</v>
      </c>
      <c r="F15" s="48" t="s">
        <v>378</v>
      </c>
      <c r="G15" s="49">
        <v>3</v>
      </c>
      <c r="H15" s="50">
        <v>0</v>
      </c>
      <c r="I15" s="50">
        <v>0</v>
      </c>
      <c r="J15" s="50">
        <v>0</v>
      </c>
      <c r="K15" s="50">
        <f t="shared" si="0"/>
        <v>0</v>
      </c>
      <c r="L15" s="52">
        <f t="shared" si="1"/>
        <v>0</v>
      </c>
    </row>
    <row r="16" spans="3:103" s="53" customFormat="1" ht="27" customHeight="1">
      <c r="C16" s="46" t="s">
        <v>8</v>
      </c>
      <c r="D16" s="47" t="s">
        <v>1019</v>
      </c>
      <c r="E16" s="48" t="s">
        <v>351</v>
      </c>
      <c r="F16" s="48" t="s">
        <v>378</v>
      </c>
      <c r="G16" s="49">
        <v>3</v>
      </c>
      <c r="H16" s="50">
        <v>0</v>
      </c>
      <c r="I16" s="50">
        <v>0</v>
      </c>
      <c r="J16" s="50">
        <v>0</v>
      </c>
      <c r="K16" s="50">
        <f t="shared" si="0"/>
        <v>0</v>
      </c>
      <c r="L16" s="52">
        <f t="shared" si="1"/>
        <v>0</v>
      </c>
    </row>
    <row r="17" spans="3:12" s="53" customFormat="1" ht="27" customHeight="1">
      <c r="C17" s="46" t="s">
        <v>9</v>
      </c>
      <c r="D17" s="47" t="s">
        <v>1020</v>
      </c>
      <c r="E17" s="48" t="s">
        <v>2126</v>
      </c>
      <c r="F17" s="48" t="s">
        <v>378</v>
      </c>
      <c r="G17" s="49">
        <v>1</v>
      </c>
      <c r="H17" s="50">
        <v>0</v>
      </c>
      <c r="I17" s="50">
        <v>0</v>
      </c>
      <c r="J17" s="50">
        <v>0</v>
      </c>
      <c r="K17" s="50">
        <f t="shared" si="0"/>
        <v>0</v>
      </c>
      <c r="L17" s="52">
        <f t="shared" si="1"/>
        <v>0</v>
      </c>
    </row>
    <row r="18" spans="3:12" s="53" customFormat="1" ht="27" customHeight="1">
      <c r="C18" s="46" t="s">
        <v>10</v>
      </c>
      <c r="D18" s="47" t="s">
        <v>1021</v>
      </c>
      <c r="E18" s="48" t="s">
        <v>2126</v>
      </c>
      <c r="F18" s="48" t="s">
        <v>378</v>
      </c>
      <c r="G18" s="49">
        <v>3</v>
      </c>
      <c r="H18" s="50">
        <v>0</v>
      </c>
      <c r="I18" s="50">
        <v>0</v>
      </c>
      <c r="J18" s="50">
        <v>0</v>
      </c>
      <c r="K18" s="50">
        <f t="shared" si="0"/>
        <v>0</v>
      </c>
      <c r="L18" s="52">
        <f t="shared" si="1"/>
        <v>0</v>
      </c>
    </row>
    <row r="19" spans="3:12" s="53" customFormat="1" ht="27" customHeight="1">
      <c r="C19" s="46" t="s">
        <v>11</v>
      </c>
      <c r="D19" s="47" t="s">
        <v>1022</v>
      </c>
      <c r="E19" s="48" t="s">
        <v>2125</v>
      </c>
      <c r="F19" s="48" t="s">
        <v>378</v>
      </c>
      <c r="G19" s="49">
        <v>1</v>
      </c>
      <c r="H19" s="50">
        <v>0</v>
      </c>
      <c r="I19" s="50">
        <v>0</v>
      </c>
      <c r="J19" s="50">
        <v>0</v>
      </c>
      <c r="K19" s="50">
        <f t="shared" si="0"/>
        <v>0</v>
      </c>
      <c r="L19" s="52">
        <f t="shared" si="1"/>
        <v>0</v>
      </c>
    </row>
    <row r="20" spans="3:12" s="53" customFormat="1" ht="27" customHeight="1">
      <c r="C20" s="46" t="s">
        <v>12</v>
      </c>
      <c r="D20" s="47" t="s">
        <v>1023</v>
      </c>
      <c r="E20" s="48" t="s">
        <v>351</v>
      </c>
      <c r="F20" s="48" t="s">
        <v>378</v>
      </c>
      <c r="G20" s="49">
        <v>3</v>
      </c>
      <c r="H20" s="50">
        <v>0</v>
      </c>
      <c r="I20" s="50">
        <v>0</v>
      </c>
      <c r="J20" s="50">
        <v>0</v>
      </c>
      <c r="K20" s="50">
        <f t="shared" si="0"/>
        <v>0</v>
      </c>
      <c r="L20" s="52">
        <f t="shared" si="1"/>
        <v>0</v>
      </c>
    </row>
    <row r="21" spans="3:12" s="53" customFormat="1" ht="27" customHeight="1">
      <c r="C21" s="46" t="s">
        <v>166</v>
      </c>
      <c r="D21" s="47" t="s">
        <v>1024</v>
      </c>
      <c r="E21" s="48" t="s">
        <v>351</v>
      </c>
      <c r="F21" s="48" t="s">
        <v>378</v>
      </c>
      <c r="G21" s="49">
        <v>22</v>
      </c>
      <c r="H21" s="50">
        <v>0</v>
      </c>
      <c r="I21" s="50">
        <v>0</v>
      </c>
      <c r="J21" s="50">
        <v>0</v>
      </c>
      <c r="K21" s="50">
        <f t="shared" si="0"/>
        <v>0</v>
      </c>
      <c r="L21" s="52">
        <f t="shared" si="1"/>
        <v>0</v>
      </c>
    </row>
    <row r="22" spans="3:12" s="53" customFormat="1" ht="27" customHeight="1">
      <c r="C22" s="46" t="s">
        <v>1043</v>
      </c>
      <c r="D22" s="47" t="s">
        <v>1025</v>
      </c>
      <c r="E22" s="48" t="s">
        <v>351</v>
      </c>
      <c r="F22" s="48" t="s">
        <v>378</v>
      </c>
      <c r="G22" s="49">
        <v>8</v>
      </c>
      <c r="H22" s="50">
        <v>0</v>
      </c>
      <c r="I22" s="50">
        <v>0</v>
      </c>
      <c r="J22" s="50">
        <v>0</v>
      </c>
      <c r="K22" s="50">
        <f t="shared" si="0"/>
        <v>0</v>
      </c>
      <c r="L22" s="52">
        <f t="shared" si="1"/>
        <v>0</v>
      </c>
    </row>
    <row r="23" spans="3:12" s="53" customFormat="1" ht="27" customHeight="1">
      <c r="C23" s="46" t="s">
        <v>1044</v>
      </c>
      <c r="D23" s="47" t="s">
        <v>1026</v>
      </c>
      <c r="E23" s="48" t="s">
        <v>351</v>
      </c>
      <c r="F23" s="48" t="s">
        <v>378</v>
      </c>
      <c r="G23" s="49">
        <v>1</v>
      </c>
      <c r="H23" s="50">
        <v>0</v>
      </c>
      <c r="I23" s="50">
        <v>0</v>
      </c>
      <c r="J23" s="50">
        <v>0</v>
      </c>
      <c r="K23" s="50">
        <f t="shared" si="0"/>
        <v>0</v>
      </c>
      <c r="L23" s="52">
        <f t="shared" si="1"/>
        <v>0</v>
      </c>
    </row>
    <row r="24" spans="3:12" s="53" customFormat="1" ht="27" customHeight="1">
      <c r="C24" s="46" t="s">
        <v>1045</v>
      </c>
      <c r="D24" s="47" t="s">
        <v>1027</v>
      </c>
      <c r="E24" s="48" t="s">
        <v>351</v>
      </c>
      <c r="F24" s="48" t="s">
        <v>378</v>
      </c>
      <c r="G24" s="49">
        <v>3</v>
      </c>
      <c r="H24" s="50">
        <v>0</v>
      </c>
      <c r="I24" s="50">
        <v>0</v>
      </c>
      <c r="J24" s="50">
        <v>0</v>
      </c>
      <c r="K24" s="50">
        <f t="shared" si="0"/>
        <v>0</v>
      </c>
      <c r="L24" s="52">
        <f t="shared" si="1"/>
        <v>0</v>
      </c>
    </row>
    <row r="25" spans="3:12" s="53" customFormat="1" ht="27" customHeight="1">
      <c r="C25" s="46" t="s">
        <v>1046</v>
      </c>
      <c r="D25" s="47" t="s">
        <v>1028</v>
      </c>
      <c r="E25" s="48" t="s">
        <v>351</v>
      </c>
      <c r="F25" s="48" t="s">
        <v>378</v>
      </c>
      <c r="G25" s="49">
        <v>2</v>
      </c>
      <c r="H25" s="50">
        <v>0</v>
      </c>
      <c r="I25" s="50">
        <v>0</v>
      </c>
      <c r="J25" s="50">
        <v>0</v>
      </c>
      <c r="K25" s="50">
        <f t="shared" si="0"/>
        <v>0</v>
      </c>
      <c r="L25" s="52">
        <f t="shared" si="1"/>
        <v>0</v>
      </c>
    </row>
    <row r="26" spans="3:12" s="53" customFormat="1" ht="27" customHeight="1">
      <c r="C26" s="46" t="s">
        <v>1047</v>
      </c>
      <c r="D26" s="47" t="s">
        <v>1029</v>
      </c>
      <c r="E26" s="48" t="s">
        <v>351</v>
      </c>
      <c r="F26" s="48" t="s">
        <v>378</v>
      </c>
      <c r="G26" s="49">
        <v>2</v>
      </c>
      <c r="H26" s="50">
        <v>0</v>
      </c>
      <c r="I26" s="50">
        <v>0</v>
      </c>
      <c r="J26" s="50">
        <v>0</v>
      </c>
      <c r="K26" s="50">
        <f t="shared" si="0"/>
        <v>0</v>
      </c>
      <c r="L26" s="52">
        <f t="shared" si="1"/>
        <v>0</v>
      </c>
    </row>
    <row r="27" spans="3:12" s="53" customFormat="1" ht="27" customHeight="1">
      <c r="C27" s="46" t="s">
        <v>1048</v>
      </c>
      <c r="D27" s="47" t="s">
        <v>1030</v>
      </c>
      <c r="E27" s="48" t="s">
        <v>351</v>
      </c>
      <c r="F27" s="48" t="s">
        <v>378</v>
      </c>
      <c r="G27" s="49">
        <v>1</v>
      </c>
      <c r="H27" s="50">
        <v>0</v>
      </c>
      <c r="I27" s="50">
        <v>0</v>
      </c>
      <c r="J27" s="50">
        <v>0</v>
      </c>
      <c r="K27" s="50">
        <f t="shared" si="0"/>
        <v>0</v>
      </c>
      <c r="L27" s="52">
        <f t="shared" si="1"/>
        <v>0</v>
      </c>
    </row>
    <row r="28" spans="3:12" s="53" customFormat="1" ht="27" customHeight="1">
      <c r="C28" s="46" t="s">
        <v>1049</v>
      </c>
      <c r="D28" s="47" t="s">
        <v>1031</v>
      </c>
      <c r="E28" s="48" t="s">
        <v>351</v>
      </c>
      <c r="F28" s="48" t="s">
        <v>378</v>
      </c>
      <c r="G28" s="49">
        <v>1</v>
      </c>
      <c r="H28" s="50">
        <v>0</v>
      </c>
      <c r="I28" s="50">
        <v>0</v>
      </c>
      <c r="J28" s="50">
        <v>0</v>
      </c>
      <c r="K28" s="50">
        <f t="shared" si="0"/>
        <v>0</v>
      </c>
      <c r="L28" s="52">
        <f t="shared" si="1"/>
        <v>0</v>
      </c>
    </row>
    <row r="29" spans="3:12" s="53" customFormat="1" ht="27" customHeight="1">
      <c r="C29" s="46" t="s">
        <v>1050</v>
      </c>
      <c r="D29" s="47" t="s">
        <v>1032</v>
      </c>
      <c r="E29" s="48" t="s">
        <v>351</v>
      </c>
      <c r="F29" s="48" t="s">
        <v>378</v>
      </c>
      <c r="G29" s="49">
        <v>1</v>
      </c>
      <c r="H29" s="50">
        <v>0</v>
      </c>
      <c r="I29" s="50">
        <v>0</v>
      </c>
      <c r="J29" s="50">
        <v>0</v>
      </c>
      <c r="K29" s="50">
        <f t="shared" si="0"/>
        <v>0</v>
      </c>
      <c r="L29" s="52">
        <f t="shared" si="1"/>
        <v>0</v>
      </c>
    </row>
    <row r="30" spans="3:12" s="53" customFormat="1" ht="27" customHeight="1">
      <c r="C30" s="46" t="s">
        <v>1051</v>
      </c>
      <c r="D30" s="47" t="s">
        <v>1033</v>
      </c>
      <c r="E30" s="48" t="s">
        <v>1042</v>
      </c>
      <c r="F30" s="48" t="s">
        <v>378</v>
      </c>
      <c r="G30" s="49">
        <v>5</v>
      </c>
      <c r="H30" s="50">
        <v>0</v>
      </c>
      <c r="I30" s="50">
        <v>0</v>
      </c>
      <c r="J30" s="50">
        <v>0</v>
      </c>
      <c r="K30" s="50">
        <f t="shared" si="0"/>
        <v>0</v>
      </c>
      <c r="L30" s="52">
        <f t="shared" si="1"/>
        <v>0</v>
      </c>
    </row>
    <row r="31" spans="3:12" s="53" customFormat="1" ht="27" customHeight="1">
      <c r="C31" s="46" t="s">
        <v>1052</v>
      </c>
      <c r="D31" s="47" t="s">
        <v>1018</v>
      </c>
      <c r="E31" s="48" t="s">
        <v>1865</v>
      </c>
      <c r="F31" s="48" t="s">
        <v>378</v>
      </c>
      <c r="G31" s="49">
        <v>10</v>
      </c>
      <c r="H31" s="50">
        <v>0</v>
      </c>
      <c r="I31" s="50">
        <v>0</v>
      </c>
      <c r="J31" s="50">
        <v>0</v>
      </c>
      <c r="K31" s="50">
        <f t="shared" si="0"/>
        <v>0</v>
      </c>
      <c r="L31" s="52">
        <f t="shared" si="1"/>
        <v>0</v>
      </c>
    </row>
    <row r="32" spans="3:12" s="53" customFormat="1" ht="27" customHeight="1">
      <c r="C32" s="46" t="s">
        <v>1053</v>
      </c>
      <c r="D32" s="47" t="s">
        <v>1034</v>
      </c>
      <c r="E32" s="48" t="s">
        <v>351</v>
      </c>
      <c r="F32" s="48" t="s">
        <v>378</v>
      </c>
      <c r="G32" s="49">
        <v>1</v>
      </c>
      <c r="H32" s="50">
        <v>0</v>
      </c>
      <c r="I32" s="50">
        <v>0</v>
      </c>
      <c r="J32" s="50">
        <v>0</v>
      </c>
      <c r="K32" s="50">
        <f t="shared" si="0"/>
        <v>0</v>
      </c>
      <c r="L32" s="52">
        <f t="shared" si="1"/>
        <v>0</v>
      </c>
    </row>
    <row r="33" spans="3:12" s="53" customFormat="1" ht="27" customHeight="1">
      <c r="C33" s="46" t="s">
        <v>1054</v>
      </c>
      <c r="D33" s="47" t="s">
        <v>1035</v>
      </c>
      <c r="E33" s="48" t="s">
        <v>351</v>
      </c>
      <c r="F33" s="48" t="s">
        <v>378</v>
      </c>
      <c r="G33" s="49">
        <v>1</v>
      </c>
      <c r="H33" s="50">
        <v>0</v>
      </c>
      <c r="I33" s="50">
        <v>0</v>
      </c>
      <c r="J33" s="50">
        <v>0</v>
      </c>
      <c r="K33" s="50">
        <f t="shared" si="0"/>
        <v>0</v>
      </c>
      <c r="L33" s="52">
        <f t="shared" si="1"/>
        <v>0</v>
      </c>
    </row>
    <row r="34" spans="3:12" s="53" customFormat="1" ht="27" customHeight="1">
      <c r="C34" s="46" t="s">
        <v>1055</v>
      </c>
      <c r="D34" s="47" t="s">
        <v>1019</v>
      </c>
      <c r="E34" s="48" t="s">
        <v>351</v>
      </c>
      <c r="F34" s="48" t="s">
        <v>378</v>
      </c>
      <c r="G34" s="49">
        <v>1</v>
      </c>
      <c r="H34" s="50">
        <v>0</v>
      </c>
      <c r="I34" s="50">
        <v>0</v>
      </c>
      <c r="J34" s="50">
        <v>0</v>
      </c>
      <c r="K34" s="50">
        <f t="shared" si="0"/>
        <v>0</v>
      </c>
      <c r="L34" s="52">
        <f t="shared" si="1"/>
        <v>0</v>
      </c>
    </row>
    <row r="35" spans="3:12" s="53" customFormat="1" ht="27" customHeight="1">
      <c r="C35" s="46" t="s">
        <v>1056</v>
      </c>
      <c r="D35" s="47" t="s">
        <v>1018</v>
      </c>
      <c r="E35" s="48" t="s">
        <v>1865</v>
      </c>
      <c r="F35" s="48" t="s">
        <v>378</v>
      </c>
      <c r="G35" s="49">
        <v>1</v>
      </c>
      <c r="H35" s="50">
        <v>0</v>
      </c>
      <c r="I35" s="50">
        <v>0</v>
      </c>
      <c r="J35" s="50">
        <v>0</v>
      </c>
      <c r="K35" s="50">
        <f t="shared" si="0"/>
        <v>0</v>
      </c>
      <c r="L35" s="52">
        <f t="shared" si="1"/>
        <v>0</v>
      </c>
    </row>
    <row r="36" spans="3:12" s="53" customFormat="1" ht="27" customHeight="1">
      <c r="C36" s="46" t="s">
        <v>1057</v>
      </c>
      <c r="D36" s="47" t="s">
        <v>1024</v>
      </c>
      <c r="E36" s="48" t="s">
        <v>351</v>
      </c>
      <c r="F36" s="48" t="s">
        <v>378</v>
      </c>
      <c r="G36" s="49">
        <v>4</v>
      </c>
      <c r="H36" s="50">
        <v>0</v>
      </c>
      <c r="I36" s="50">
        <v>0</v>
      </c>
      <c r="J36" s="50">
        <v>0</v>
      </c>
      <c r="K36" s="50">
        <f t="shared" si="0"/>
        <v>0</v>
      </c>
      <c r="L36" s="52">
        <f t="shared" si="1"/>
        <v>0</v>
      </c>
    </row>
    <row r="37" spans="3:12" s="53" customFormat="1" ht="27" customHeight="1">
      <c r="C37" s="46" t="s">
        <v>1058</v>
      </c>
      <c r="D37" s="47" t="s">
        <v>1036</v>
      </c>
      <c r="E37" s="136" t="s">
        <v>2124</v>
      </c>
      <c r="F37" s="48" t="s">
        <v>26</v>
      </c>
      <c r="G37" s="49">
        <v>4</v>
      </c>
      <c r="H37" s="50">
        <v>0</v>
      </c>
      <c r="I37" s="50">
        <v>0</v>
      </c>
      <c r="J37" s="50">
        <v>0</v>
      </c>
      <c r="K37" s="50">
        <f>+H37+I37+J37</f>
        <v>0</v>
      </c>
      <c r="L37" s="52">
        <f>+G37*K37</f>
        <v>0</v>
      </c>
    </row>
    <row r="38" spans="3:12" s="53" customFormat="1" ht="27" customHeight="1">
      <c r="C38" s="46" t="s">
        <v>1059</v>
      </c>
      <c r="D38" s="47" t="s">
        <v>1037</v>
      </c>
      <c r="E38" s="136" t="s">
        <v>2124</v>
      </c>
      <c r="F38" s="48" t="s">
        <v>26</v>
      </c>
      <c r="G38" s="49">
        <v>4</v>
      </c>
      <c r="H38" s="50">
        <v>0</v>
      </c>
      <c r="I38" s="50">
        <v>0</v>
      </c>
      <c r="J38" s="50">
        <v>0</v>
      </c>
      <c r="K38" s="50">
        <f>+H38+I38+J38</f>
        <v>0</v>
      </c>
      <c r="L38" s="52">
        <f>+G38*K38</f>
        <v>0</v>
      </c>
    </row>
    <row r="39" spans="3:12" s="53" customFormat="1" ht="27" customHeight="1">
      <c r="C39" s="46" t="s">
        <v>1060</v>
      </c>
      <c r="D39" s="47" t="s">
        <v>1038</v>
      </c>
      <c r="E39" s="136" t="s">
        <v>2124</v>
      </c>
      <c r="F39" s="48" t="s">
        <v>26</v>
      </c>
      <c r="G39" s="49">
        <v>2</v>
      </c>
      <c r="H39" s="50">
        <v>0</v>
      </c>
      <c r="I39" s="50">
        <v>0</v>
      </c>
      <c r="J39" s="50">
        <v>0</v>
      </c>
      <c r="K39" s="50">
        <f>+H39+I39+J39</f>
        <v>0</v>
      </c>
      <c r="L39" s="52">
        <f>+G39*K39</f>
        <v>0</v>
      </c>
    </row>
    <row r="40" spans="3:12" s="53" customFormat="1" ht="27" customHeight="1">
      <c r="C40" s="46" t="s">
        <v>1061</v>
      </c>
      <c r="D40" s="47" t="s">
        <v>1039</v>
      </c>
      <c r="E40" s="136" t="s">
        <v>2124</v>
      </c>
      <c r="F40" s="48" t="s">
        <v>26</v>
      </c>
      <c r="G40" s="49">
        <v>46</v>
      </c>
      <c r="H40" s="50">
        <v>0</v>
      </c>
      <c r="I40" s="50">
        <v>0</v>
      </c>
      <c r="J40" s="50">
        <v>0</v>
      </c>
      <c r="K40" s="50">
        <f>+H40+I40+J40</f>
        <v>0</v>
      </c>
      <c r="L40" s="52">
        <f>+G40*K40</f>
        <v>0</v>
      </c>
    </row>
    <row r="41" spans="3:12" s="53" customFormat="1" ht="27" customHeight="1">
      <c r="C41" s="46" t="s">
        <v>1062</v>
      </c>
      <c r="D41" s="47" t="s">
        <v>1040</v>
      </c>
      <c r="E41" s="136" t="s">
        <v>2124</v>
      </c>
      <c r="F41" s="48" t="s">
        <v>26</v>
      </c>
      <c r="G41" s="49">
        <v>2</v>
      </c>
      <c r="H41" s="50">
        <v>0</v>
      </c>
      <c r="I41" s="50">
        <v>0</v>
      </c>
      <c r="J41" s="50">
        <v>0</v>
      </c>
      <c r="K41" s="50">
        <f>+H41+I41+J41</f>
        <v>0</v>
      </c>
      <c r="L41" s="52">
        <f>+G41*K41</f>
        <v>0</v>
      </c>
    </row>
    <row r="42" spans="3:12" s="53" customFormat="1" ht="27" customHeight="1">
      <c r="C42" s="46" t="s">
        <v>1063</v>
      </c>
      <c r="D42" s="47" t="s">
        <v>2128</v>
      </c>
      <c r="E42" s="48" t="s">
        <v>2172</v>
      </c>
      <c r="F42" s="48" t="s">
        <v>26</v>
      </c>
      <c r="G42" s="49">
        <v>1</v>
      </c>
      <c r="H42" s="50">
        <v>0</v>
      </c>
      <c r="I42" s="50">
        <v>0</v>
      </c>
      <c r="J42" s="50">
        <v>0</v>
      </c>
      <c r="K42" s="50">
        <f t="shared" si="0"/>
        <v>0</v>
      </c>
      <c r="L42" s="52">
        <f t="shared" si="1"/>
        <v>0</v>
      </c>
    </row>
    <row r="43" spans="3:12" s="53" customFormat="1" ht="27" customHeight="1">
      <c r="C43" s="46"/>
      <c r="D43" s="47"/>
      <c r="E43" s="48"/>
      <c r="F43" s="48"/>
      <c r="G43" s="49"/>
      <c r="H43" s="50"/>
      <c r="I43" s="50"/>
      <c r="J43" s="50"/>
      <c r="K43" s="50"/>
      <c r="L43" s="52"/>
    </row>
    <row r="44" spans="3:12" s="53" customFormat="1" ht="27" customHeight="1">
      <c r="C44" s="207" t="s">
        <v>81</v>
      </c>
      <c r="D44" s="159" t="s">
        <v>2249</v>
      </c>
      <c r="E44" s="48"/>
      <c r="F44" s="48"/>
      <c r="G44" s="49"/>
      <c r="H44" s="50"/>
      <c r="I44" s="50"/>
      <c r="J44" s="50"/>
      <c r="K44" s="50"/>
      <c r="L44" s="52"/>
    </row>
    <row r="45" spans="3:12" s="53" customFormat="1" ht="27" customHeight="1">
      <c r="C45" s="46"/>
      <c r="D45" s="47"/>
      <c r="E45" s="48"/>
      <c r="F45" s="48"/>
      <c r="G45" s="49"/>
      <c r="H45" s="50"/>
      <c r="I45" s="50"/>
      <c r="J45" s="50"/>
      <c r="K45" s="50"/>
      <c r="L45" s="52"/>
    </row>
    <row r="46" spans="3:12" s="53" customFormat="1" ht="27" customHeight="1">
      <c r="C46" s="46" t="s">
        <v>13</v>
      </c>
      <c r="D46" s="47" t="s">
        <v>2228</v>
      </c>
      <c r="E46" s="48" t="s">
        <v>351</v>
      </c>
      <c r="F46" s="48" t="s">
        <v>378</v>
      </c>
      <c r="G46" s="49">
        <v>1</v>
      </c>
      <c r="H46" s="50">
        <v>0</v>
      </c>
      <c r="I46" s="50">
        <v>0</v>
      </c>
      <c r="J46" s="50">
        <v>0</v>
      </c>
      <c r="K46" s="50">
        <f t="shared" si="0"/>
        <v>0</v>
      </c>
      <c r="L46" s="52">
        <f t="shared" si="1"/>
        <v>0</v>
      </c>
    </row>
    <row r="47" spans="3:12" s="53" customFormat="1" ht="27" customHeight="1">
      <c r="C47" s="46" t="s">
        <v>14</v>
      </c>
      <c r="D47" s="47" t="s">
        <v>1026</v>
      </c>
      <c r="E47" s="48" t="s">
        <v>351</v>
      </c>
      <c r="F47" s="48" t="s">
        <v>378</v>
      </c>
      <c r="G47" s="49">
        <v>1</v>
      </c>
      <c r="H47" s="50">
        <v>0</v>
      </c>
      <c r="I47" s="50">
        <v>0</v>
      </c>
      <c r="J47" s="50">
        <v>0</v>
      </c>
      <c r="K47" s="50">
        <f t="shared" si="0"/>
        <v>0</v>
      </c>
      <c r="L47" s="52">
        <f t="shared" si="1"/>
        <v>0</v>
      </c>
    </row>
    <row r="48" spans="3:12" s="53" customFormat="1" ht="27" customHeight="1">
      <c r="C48" s="46" t="s">
        <v>15</v>
      </c>
      <c r="D48" s="47" t="s">
        <v>1018</v>
      </c>
      <c r="E48" s="48" t="s">
        <v>1865</v>
      </c>
      <c r="F48" s="48" t="s">
        <v>378</v>
      </c>
      <c r="G48" s="49">
        <v>3</v>
      </c>
      <c r="H48" s="50">
        <v>0</v>
      </c>
      <c r="I48" s="50">
        <v>0</v>
      </c>
      <c r="J48" s="50">
        <v>0</v>
      </c>
      <c r="K48" s="50">
        <f t="shared" si="0"/>
        <v>0</v>
      </c>
      <c r="L48" s="52">
        <f t="shared" si="1"/>
        <v>0</v>
      </c>
    </row>
    <row r="49" spans="3:12" s="53" customFormat="1" ht="27" customHeight="1">
      <c r="C49" s="46" t="s">
        <v>16</v>
      </c>
      <c r="D49" s="47" t="s">
        <v>1019</v>
      </c>
      <c r="E49" s="48" t="s">
        <v>351</v>
      </c>
      <c r="F49" s="48" t="s">
        <v>378</v>
      </c>
      <c r="G49" s="49">
        <v>3</v>
      </c>
      <c r="H49" s="50">
        <v>0</v>
      </c>
      <c r="I49" s="50">
        <v>0</v>
      </c>
      <c r="J49" s="50">
        <v>0</v>
      </c>
      <c r="K49" s="50">
        <f t="shared" si="0"/>
        <v>0</v>
      </c>
      <c r="L49" s="52">
        <f t="shared" si="1"/>
        <v>0</v>
      </c>
    </row>
    <row r="50" spans="3:12" s="53" customFormat="1" ht="27" customHeight="1">
      <c r="C50" s="46" t="s">
        <v>17</v>
      </c>
      <c r="D50" s="47" t="s">
        <v>1020</v>
      </c>
      <c r="E50" s="48" t="s">
        <v>2126</v>
      </c>
      <c r="F50" s="48" t="s">
        <v>378</v>
      </c>
      <c r="G50" s="49">
        <v>1</v>
      </c>
      <c r="H50" s="50">
        <v>0</v>
      </c>
      <c r="I50" s="50">
        <v>0</v>
      </c>
      <c r="J50" s="50">
        <v>0</v>
      </c>
      <c r="K50" s="50">
        <f t="shared" si="0"/>
        <v>0</v>
      </c>
      <c r="L50" s="52">
        <f t="shared" si="1"/>
        <v>0</v>
      </c>
    </row>
    <row r="51" spans="3:12" s="53" customFormat="1" ht="27" customHeight="1">
      <c r="C51" s="46" t="s">
        <v>203</v>
      </c>
      <c r="D51" s="47" t="s">
        <v>1021</v>
      </c>
      <c r="E51" s="48" t="s">
        <v>2126</v>
      </c>
      <c r="F51" s="48" t="s">
        <v>378</v>
      </c>
      <c r="G51" s="49">
        <v>3</v>
      </c>
      <c r="H51" s="50">
        <v>0</v>
      </c>
      <c r="I51" s="50">
        <v>0</v>
      </c>
      <c r="J51" s="50">
        <v>0</v>
      </c>
      <c r="K51" s="50">
        <f t="shared" si="0"/>
        <v>0</v>
      </c>
      <c r="L51" s="52">
        <f t="shared" si="1"/>
        <v>0</v>
      </c>
    </row>
    <row r="52" spans="3:12" s="53" customFormat="1" ht="27" customHeight="1">
      <c r="C52" s="46" t="s">
        <v>302</v>
      </c>
      <c r="D52" s="47" t="s">
        <v>1022</v>
      </c>
      <c r="E52" s="48" t="s">
        <v>2125</v>
      </c>
      <c r="F52" s="48" t="s">
        <v>378</v>
      </c>
      <c r="G52" s="49">
        <v>1</v>
      </c>
      <c r="H52" s="50">
        <v>0</v>
      </c>
      <c r="I52" s="50">
        <v>0</v>
      </c>
      <c r="J52" s="50">
        <v>0</v>
      </c>
      <c r="K52" s="50">
        <f t="shared" si="0"/>
        <v>0</v>
      </c>
      <c r="L52" s="52">
        <f t="shared" si="1"/>
        <v>0</v>
      </c>
    </row>
    <row r="53" spans="3:12" s="53" customFormat="1" ht="27" customHeight="1">
      <c r="C53" s="46" t="s">
        <v>796</v>
      </c>
      <c r="D53" s="47" t="s">
        <v>1064</v>
      </c>
      <c r="E53" s="48" t="s">
        <v>351</v>
      </c>
      <c r="F53" s="48" t="s">
        <v>378</v>
      </c>
      <c r="G53" s="49">
        <v>4</v>
      </c>
      <c r="H53" s="50">
        <v>0</v>
      </c>
      <c r="I53" s="50">
        <v>0</v>
      </c>
      <c r="J53" s="50">
        <v>0</v>
      </c>
      <c r="K53" s="50">
        <f t="shared" si="0"/>
        <v>0</v>
      </c>
      <c r="L53" s="52">
        <f t="shared" si="1"/>
        <v>0</v>
      </c>
    </row>
    <row r="54" spans="3:12" s="53" customFormat="1" ht="27" customHeight="1">
      <c r="C54" s="46" t="s">
        <v>1070</v>
      </c>
      <c r="D54" s="47" t="s">
        <v>1023</v>
      </c>
      <c r="E54" s="48" t="s">
        <v>351</v>
      </c>
      <c r="F54" s="48" t="s">
        <v>378</v>
      </c>
      <c r="G54" s="49">
        <v>1</v>
      </c>
      <c r="H54" s="50">
        <v>0</v>
      </c>
      <c r="I54" s="50">
        <v>0</v>
      </c>
      <c r="J54" s="50">
        <v>0</v>
      </c>
      <c r="K54" s="50">
        <f t="shared" si="0"/>
        <v>0</v>
      </c>
      <c r="L54" s="52">
        <f t="shared" si="1"/>
        <v>0</v>
      </c>
    </row>
    <row r="55" spans="3:12" s="53" customFormat="1" ht="27" customHeight="1">
      <c r="C55" s="46" t="s">
        <v>1071</v>
      </c>
      <c r="D55" s="47" t="s">
        <v>1065</v>
      </c>
      <c r="E55" s="48" t="s">
        <v>351</v>
      </c>
      <c r="F55" s="48" t="s">
        <v>378</v>
      </c>
      <c r="G55" s="49">
        <v>1</v>
      </c>
      <c r="H55" s="50">
        <v>0</v>
      </c>
      <c r="I55" s="50">
        <v>0</v>
      </c>
      <c r="J55" s="50">
        <v>0</v>
      </c>
      <c r="K55" s="50">
        <f t="shared" si="0"/>
        <v>0</v>
      </c>
      <c r="L55" s="52">
        <f t="shared" si="1"/>
        <v>0</v>
      </c>
    </row>
    <row r="56" spans="3:12" s="53" customFormat="1" ht="27" customHeight="1">
      <c r="C56" s="46" t="s">
        <v>1072</v>
      </c>
      <c r="D56" s="47" t="s">
        <v>1019</v>
      </c>
      <c r="E56" s="48" t="s">
        <v>351</v>
      </c>
      <c r="F56" s="48" t="s">
        <v>378</v>
      </c>
      <c r="G56" s="49">
        <v>6</v>
      </c>
      <c r="H56" s="50">
        <v>0</v>
      </c>
      <c r="I56" s="50">
        <v>0</v>
      </c>
      <c r="J56" s="50">
        <v>0</v>
      </c>
      <c r="K56" s="50">
        <f t="shared" si="0"/>
        <v>0</v>
      </c>
      <c r="L56" s="52">
        <f t="shared" si="1"/>
        <v>0</v>
      </c>
    </row>
    <row r="57" spans="3:12" s="53" customFormat="1" ht="27" customHeight="1">
      <c r="C57" s="46" t="s">
        <v>1073</v>
      </c>
      <c r="D57" s="47" t="s">
        <v>1066</v>
      </c>
      <c r="E57" s="48" t="s">
        <v>351</v>
      </c>
      <c r="F57" s="48" t="s">
        <v>378</v>
      </c>
      <c r="G57" s="49">
        <v>2</v>
      </c>
      <c r="H57" s="50">
        <v>0</v>
      </c>
      <c r="I57" s="50">
        <v>0</v>
      </c>
      <c r="J57" s="50">
        <v>0</v>
      </c>
      <c r="K57" s="50">
        <f t="shared" si="0"/>
        <v>0</v>
      </c>
      <c r="L57" s="52">
        <f t="shared" si="1"/>
        <v>0</v>
      </c>
    </row>
    <row r="58" spans="3:12" s="53" customFormat="1" ht="27" customHeight="1">
      <c r="C58" s="46" t="s">
        <v>1074</v>
      </c>
      <c r="D58" s="47" t="s">
        <v>1024</v>
      </c>
      <c r="E58" s="48" t="s">
        <v>351</v>
      </c>
      <c r="F58" s="48" t="s">
        <v>378</v>
      </c>
      <c r="G58" s="49">
        <v>20</v>
      </c>
      <c r="H58" s="50">
        <v>0</v>
      </c>
      <c r="I58" s="50">
        <v>0</v>
      </c>
      <c r="J58" s="50">
        <v>0</v>
      </c>
      <c r="K58" s="50">
        <f t="shared" si="0"/>
        <v>0</v>
      </c>
      <c r="L58" s="52">
        <f t="shared" si="1"/>
        <v>0</v>
      </c>
    </row>
    <row r="59" spans="3:12" s="53" customFormat="1" ht="27" customHeight="1">
      <c r="C59" s="46" t="s">
        <v>1075</v>
      </c>
      <c r="D59" s="47" t="s">
        <v>1067</v>
      </c>
      <c r="E59" s="48" t="s">
        <v>351</v>
      </c>
      <c r="F59" s="48" t="s">
        <v>378</v>
      </c>
      <c r="G59" s="49">
        <v>1</v>
      </c>
      <c r="H59" s="50">
        <v>0</v>
      </c>
      <c r="I59" s="50">
        <v>0</v>
      </c>
      <c r="J59" s="50">
        <v>0</v>
      </c>
      <c r="K59" s="50">
        <f t="shared" si="0"/>
        <v>0</v>
      </c>
      <c r="L59" s="52">
        <f t="shared" si="1"/>
        <v>0</v>
      </c>
    </row>
    <row r="60" spans="3:12" s="53" customFormat="1" ht="27" customHeight="1">
      <c r="C60" s="46" t="s">
        <v>1076</v>
      </c>
      <c r="D60" s="47" t="s">
        <v>1068</v>
      </c>
      <c r="E60" s="48" t="s">
        <v>351</v>
      </c>
      <c r="F60" s="48" t="s">
        <v>378</v>
      </c>
      <c r="G60" s="49">
        <v>1</v>
      </c>
      <c r="H60" s="50">
        <v>0</v>
      </c>
      <c r="I60" s="50">
        <v>0</v>
      </c>
      <c r="J60" s="50">
        <v>0</v>
      </c>
      <c r="K60" s="50">
        <f t="shared" si="0"/>
        <v>0</v>
      </c>
      <c r="L60" s="52">
        <f t="shared" si="1"/>
        <v>0</v>
      </c>
    </row>
    <row r="61" spans="3:12" s="53" customFormat="1" ht="27" customHeight="1">
      <c r="C61" s="46" t="s">
        <v>1077</v>
      </c>
      <c r="D61" s="47" t="s">
        <v>1028</v>
      </c>
      <c r="E61" s="48" t="s">
        <v>351</v>
      </c>
      <c r="F61" s="48" t="s">
        <v>378</v>
      </c>
      <c r="G61" s="49">
        <v>3</v>
      </c>
      <c r="H61" s="50">
        <v>0</v>
      </c>
      <c r="I61" s="50">
        <v>0</v>
      </c>
      <c r="J61" s="50">
        <v>0</v>
      </c>
      <c r="K61" s="50">
        <f t="shared" si="0"/>
        <v>0</v>
      </c>
      <c r="L61" s="52">
        <f t="shared" si="1"/>
        <v>0</v>
      </c>
    </row>
    <row r="62" spans="3:12" s="53" customFormat="1" ht="27" customHeight="1">
      <c r="C62" s="46" t="s">
        <v>1078</v>
      </c>
      <c r="D62" s="47" t="s">
        <v>1030</v>
      </c>
      <c r="E62" s="48" t="s">
        <v>351</v>
      </c>
      <c r="F62" s="48" t="s">
        <v>378</v>
      </c>
      <c r="G62" s="49">
        <v>1</v>
      </c>
      <c r="H62" s="50">
        <v>0</v>
      </c>
      <c r="I62" s="50">
        <v>0</v>
      </c>
      <c r="J62" s="50">
        <v>0</v>
      </c>
      <c r="K62" s="50">
        <f t="shared" si="0"/>
        <v>0</v>
      </c>
      <c r="L62" s="52">
        <f t="shared" si="1"/>
        <v>0</v>
      </c>
    </row>
    <row r="63" spans="3:12" s="53" customFormat="1" ht="27" customHeight="1">
      <c r="C63" s="46" t="s">
        <v>1079</v>
      </c>
      <c r="D63" s="47" t="s">
        <v>1031</v>
      </c>
      <c r="E63" s="48" t="s">
        <v>351</v>
      </c>
      <c r="F63" s="48" t="s">
        <v>378</v>
      </c>
      <c r="G63" s="49">
        <v>1</v>
      </c>
      <c r="H63" s="50">
        <v>0</v>
      </c>
      <c r="I63" s="50">
        <v>0</v>
      </c>
      <c r="J63" s="50">
        <v>0</v>
      </c>
      <c r="K63" s="50">
        <f t="shared" si="0"/>
        <v>0</v>
      </c>
      <c r="L63" s="52">
        <f t="shared" si="1"/>
        <v>0</v>
      </c>
    </row>
    <row r="64" spans="3:12" s="53" customFormat="1" ht="27" customHeight="1">
      <c r="C64" s="46" t="s">
        <v>1080</v>
      </c>
      <c r="D64" s="47" t="s">
        <v>1032</v>
      </c>
      <c r="E64" s="48" t="s">
        <v>351</v>
      </c>
      <c r="F64" s="48" t="s">
        <v>378</v>
      </c>
      <c r="G64" s="49">
        <v>1</v>
      </c>
      <c r="H64" s="50">
        <v>0</v>
      </c>
      <c r="I64" s="50">
        <v>0</v>
      </c>
      <c r="J64" s="50">
        <v>0</v>
      </c>
      <c r="K64" s="50">
        <f t="shared" si="0"/>
        <v>0</v>
      </c>
      <c r="L64" s="52">
        <f t="shared" si="1"/>
        <v>0</v>
      </c>
    </row>
    <row r="65" spans="3:12" s="53" customFormat="1" ht="27" customHeight="1">
      <c r="C65" s="46" t="s">
        <v>1081</v>
      </c>
      <c r="D65" s="47" t="s">
        <v>1033</v>
      </c>
      <c r="E65" s="48" t="s">
        <v>1042</v>
      </c>
      <c r="F65" s="48" t="s">
        <v>378</v>
      </c>
      <c r="G65" s="49">
        <v>3</v>
      </c>
      <c r="H65" s="50">
        <v>0</v>
      </c>
      <c r="I65" s="50">
        <v>0</v>
      </c>
      <c r="J65" s="50">
        <v>0</v>
      </c>
      <c r="K65" s="50">
        <f t="shared" si="0"/>
        <v>0</v>
      </c>
      <c r="L65" s="52">
        <f t="shared" si="1"/>
        <v>0</v>
      </c>
    </row>
    <row r="66" spans="3:12" s="53" customFormat="1" ht="27" customHeight="1">
      <c r="C66" s="46" t="s">
        <v>1082</v>
      </c>
      <c r="D66" s="47" t="s">
        <v>1018</v>
      </c>
      <c r="E66" s="48" t="s">
        <v>1865</v>
      </c>
      <c r="F66" s="48" t="s">
        <v>378</v>
      </c>
      <c r="G66" s="49">
        <v>6</v>
      </c>
      <c r="H66" s="50">
        <v>0</v>
      </c>
      <c r="I66" s="50">
        <v>0</v>
      </c>
      <c r="J66" s="50">
        <v>0</v>
      </c>
      <c r="K66" s="50">
        <f t="shared" si="0"/>
        <v>0</v>
      </c>
      <c r="L66" s="52">
        <f t="shared" si="1"/>
        <v>0</v>
      </c>
    </row>
    <row r="67" spans="3:12" s="53" customFormat="1" ht="27" customHeight="1">
      <c r="C67" s="46" t="s">
        <v>1083</v>
      </c>
      <c r="D67" s="47" t="s">
        <v>1069</v>
      </c>
      <c r="E67" s="136" t="s">
        <v>2124</v>
      </c>
      <c r="F67" s="48" t="s">
        <v>26</v>
      </c>
      <c r="G67" s="49">
        <v>4</v>
      </c>
      <c r="H67" s="50">
        <v>0</v>
      </c>
      <c r="I67" s="50">
        <v>0</v>
      </c>
      <c r="J67" s="50">
        <v>0</v>
      </c>
      <c r="K67" s="50">
        <f>+H67+I67+J67</f>
        <v>0</v>
      </c>
      <c r="L67" s="52">
        <f>+G67*K67</f>
        <v>0</v>
      </c>
    </row>
    <row r="68" spans="3:12" s="53" customFormat="1" ht="27" customHeight="1">
      <c r="C68" s="46" t="s">
        <v>1084</v>
      </c>
      <c r="D68" s="47" t="s">
        <v>1037</v>
      </c>
      <c r="E68" s="136" t="s">
        <v>2124</v>
      </c>
      <c r="F68" s="48" t="s">
        <v>26</v>
      </c>
      <c r="G68" s="49">
        <v>4</v>
      </c>
      <c r="H68" s="50">
        <v>0</v>
      </c>
      <c r="I68" s="50">
        <v>0</v>
      </c>
      <c r="J68" s="50">
        <v>0</v>
      </c>
      <c r="K68" s="50">
        <f>+H68+I68+J68</f>
        <v>0</v>
      </c>
      <c r="L68" s="52">
        <f>+G68*K68</f>
        <v>0</v>
      </c>
    </row>
    <row r="69" spans="3:12" s="53" customFormat="1" ht="27" customHeight="1">
      <c r="C69" s="46" t="s">
        <v>1085</v>
      </c>
      <c r="D69" s="47" t="s">
        <v>1039</v>
      </c>
      <c r="E69" s="136" t="s">
        <v>2124</v>
      </c>
      <c r="F69" s="48" t="s">
        <v>26</v>
      </c>
      <c r="G69" s="49">
        <v>31</v>
      </c>
      <c r="H69" s="50">
        <v>0</v>
      </c>
      <c r="I69" s="50">
        <v>0</v>
      </c>
      <c r="J69" s="50">
        <v>0</v>
      </c>
      <c r="K69" s="50">
        <f>+H69+I69+J69</f>
        <v>0</v>
      </c>
      <c r="L69" s="52">
        <f>+G69*K69</f>
        <v>0</v>
      </c>
    </row>
    <row r="70" spans="3:12" s="53" customFormat="1" ht="27" customHeight="1">
      <c r="C70" s="46" t="s">
        <v>1086</v>
      </c>
      <c r="D70" s="47" t="s">
        <v>1040</v>
      </c>
      <c r="E70" s="136" t="s">
        <v>2124</v>
      </c>
      <c r="F70" s="48" t="s">
        <v>26</v>
      </c>
      <c r="G70" s="49">
        <v>2</v>
      </c>
      <c r="H70" s="50">
        <v>0</v>
      </c>
      <c r="I70" s="50">
        <v>0</v>
      </c>
      <c r="J70" s="50">
        <v>0</v>
      </c>
      <c r="K70" s="50">
        <f>+H70+I70+J70</f>
        <v>0</v>
      </c>
      <c r="L70" s="52">
        <f>+G70*K70</f>
        <v>0</v>
      </c>
    </row>
    <row r="71" spans="3:12" s="53" customFormat="1" ht="27" customHeight="1">
      <c r="C71" s="46" t="s">
        <v>1087</v>
      </c>
      <c r="D71" s="47" t="s">
        <v>2129</v>
      </c>
      <c r="E71" s="48" t="s">
        <v>2172</v>
      </c>
      <c r="F71" s="48" t="s">
        <v>26</v>
      </c>
      <c r="G71" s="49">
        <v>1</v>
      </c>
      <c r="H71" s="50">
        <v>0</v>
      </c>
      <c r="I71" s="50">
        <v>0</v>
      </c>
      <c r="J71" s="50">
        <v>0</v>
      </c>
      <c r="K71" s="50">
        <f t="shared" si="0"/>
        <v>0</v>
      </c>
      <c r="L71" s="52">
        <f t="shared" si="1"/>
        <v>0</v>
      </c>
    </row>
    <row r="72" spans="3:12" s="53" customFormat="1" ht="27" customHeight="1">
      <c r="C72" s="46"/>
      <c r="D72" s="47"/>
      <c r="E72" s="48"/>
      <c r="F72" s="48"/>
      <c r="G72" s="49"/>
      <c r="H72" s="50"/>
      <c r="I72" s="50"/>
      <c r="J72" s="50"/>
      <c r="K72" s="50"/>
      <c r="L72" s="52"/>
    </row>
    <row r="73" spans="3:12" s="53" customFormat="1" ht="27" customHeight="1">
      <c r="C73" s="207" t="s">
        <v>1088</v>
      </c>
      <c r="D73" s="159" t="s">
        <v>2250</v>
      </c>
      <c r="E73" s="48"/>
      <c r="F73" s="48"/>
      <c r="G73" s="49"/>
      <c r="H73" s="50"/>
      <c r="I73" s="50"/>
      <c r="J73" s="50"/>
      <c r="K73" s="50"/>
      <c r="L73" s="52"/>
    </row>
    <row r="74" spans="3:12" s="53" customFormat="1" ht="27" customHeight="1">
      <c r="C74" s="46"/>
      <c r="D74" s="47"/>
      <c r="E74" s="48"/>
      <c r="F74" s="48"/>
      <c r="G74" s="49"/>
      <c r="H74" s="50"/>
      <c r="I74" s="50"/>
      <c r="J74" s="50"/>
      <c r="K74" s="50"/>
      <c r="L74" s="52"/>
    </row>
    <row r="75" spans="3:12" s="53" customFormat="1" ht="27" customHeight="1">
      <c r="C75" s="46" t="s">
        <v>1091</v>
      </c>
      <c r="D75" s="47" t="s">
        <v>1089</v>
      </c>
      <c r="E75" s="48" t="s">
        <v>351</v>
      </c>
      <c r="F75" s="48" t="s">
        <v>378</v>
      </c>
      <c r="G75" s="49">
        <v>1</v>
      </c>
      <c r="H75" s="50">
        <v>0</v>
      </c>
      <c r="I75" s="50">
        <v>0</v>
      </c>
      <c r="J75" s="50">
        <v>0</v>
      </c>
      <c r="K75" s="50">
        <f t="shared" ref="K75:K136" si="2">+H75+I75+J75</f>
        <v>0</v>
      </c>
      <c r="L75" s="52">
        <f t="shared" ref="L75:L136" si="3">+G75*K75</f>
        <v>0</v>
      </c>
    </row>
    <row r="76" spans="3:12" s="53" customFormat="1" ht="27" customHeight="1">
      <c r="C76" s="46" t="s">
        <v>1092</v>
      </c>
      <c r="D76" s="47" t="s">
        <v>2229</v>
      </c>
      <c r="E76" s="48" t="s">
        <v>351</v>
      </c>
      <c r="F76" s="48" t="s">
        <v>378</v>
      </c>
      <c r="G76" s="49">
        <v>1</v>
      </c>
      <c r="H76" s="50">
        <v>0</v>
      </c>
      <c r="I76" s="50">
        <v>0</v>
      </c>
      <c r="J76" s="50">
        <v>0</v>
      </c>
      <c r="K76" s="50">
        <f t="shared" si="2"/>
        <v>0</v>
      </c>
      <c r="L76" s="52">
        <f t="shared" si="3"/>
        <v>0</v>
      </c>
    </row>
    <row r="77" spans="3:12" s="53" customFormat="1" ht="27" customHeight="1">
      <c r="C77" s="46" t="s">
        <v>1093</v>
      </c>
      <c r="D77" s="47" t="s">
        <v>1018</v>
      </c>
      <c r="E77" s="48" t="s">
        <v>1865</v>
      </c>
      <c r="F77" s="48" t="s">
        <v>378</v>
      </c>
      <c r="G77" s="49">
        <v>3</v>
      </c>
      <c r="H77" s="50">
        <v>0</v>
      </c>
      <c r="I77" s="50">
        <v>0</v>
      </c>
      <c r="J77" s="50">
        <v>0</v>
      </c>
      <c r="K77" s="50">
        <f t="shared" si="2"/>
        <v>0</v>
      </c>
      <c r="L77" s="52">
        <f t="shared" si="3"/>
        <v>0</v>
      </c>
    </row>
    <row r="78" spans="3:12" s="53" customFormat="1" ht="27" customHeight="1">
      <c r="C78" s="46" t="s">
        <v>1094</v>
      </c>
      <c r="D78" s="47" t="s">
        <v>1019</v>
      </c>
      <c r="E78" s="48" t="s">
        <v>351</v>
      </c>
      <c r="F78" s="48" t="s">
        <v>378</v>
      </c>
      <c r="G78" s="49">
        <v>3</v>
      </c>
      <c r="H78" s="50">
        <v>0</v>
      </c>
      <c r="I78" s="50">
        <v>0</v>
      </c>
      <c r="J78" s="50">
        <v>0</v>
      </c>
      <c r="K78" s="50">
        <f t="shared" si="2"/>
        <v>0</v>
      </c>
      <c r="L78" s="52">
        <f t="shared" si="3"/>
        <v>0</v>
      </c>
    </row>
    <row r="79" spans="3:12" s="53" customFormat="1" ht="27" customHeight="1">
      <c r="C79" s="46" t="s">
        <v>1095</v>
      </c>
      <c r="D79" s="47" t="s">
        <v>1020</v>
      </c>
      <c r="E79" s="48" t="s">
        <v>2126</v>
      </c>
      <c r="F79" s="48" t="s">
        <v>378</v>
      </c>
      <c r="G79" s="49">
        <v>1</v>
      </c>
      <c r="H79" s="50">
        <v>0</v>
      </c>
      <c r="I79" s="50">
        <v>0</v>
      </c>
      <c r="J79" s="50">
        <v>0</v>
      </c>
      <c r="K79" s="50">
        <f t="shared" si="2"/>
        <v>0</v>
      </c>
      <c r="L79" s="52">
        <f t="shared" si="3"/>
        <v>0</v>
      </c>
    </row>
    <row r="80" spans="3:12" s="53" customFormat="1" ht="27" customHeight="1">
      <c r="C80" s="46" t="s">
        <v>1096</v>
      </c>
      <c r="D80" s="47" t="s">
        <v>1090</v>
      </c>
      <c r="E80" s="48" t="s">
        <v>2126</v>
      </c>
      <c r="F80" s="48" t="s">
        <v>378</v>
      </c>
      <c r="G80" s="49">
        <v>3</v>
      </c>
      <c r="H80" s="50">
        <v>0</v>
      </c>
      <c r="I80" s="50">
        <v>0</v>
      </c>
      <c r="J80" s="50">
        <v>0</v>
      </c>
      <c r="K80" s="50">
        <f t="shared" si="2"/>
        <v>0</v>
      </c>
      <c r="L80" s="52">
        <f t="shared" si="3"/>
        <v>0</v>
      </c>
    </row>
    <row r="81" spans="3:12" s="53" customFormat="1" ht="27" customHeight="1">
      <c r="C81" s="46" t="s">
        <v>1097</v>
      </c>
      <c r="D81" s="47" t="s">
        <v>1022</v>
      </c>
      <c r="E81" s="48" t="s">
        <v>2125</v>
      </c>
      <c r="F81" s="48" t="s">
        <v>378</v>
      </c>
      <c r="G81" s="49">
        <v>1</v>
      </c>
      <c r="H81" s="50">
        <v>0</v>
      </c>
      <c r="I81" s="50">
        <v>0</v>
      </c>
      <c r="J81" s="50">
        <v>0</v>
      </c>
      <c r="K81" s="50">
        <f t="shared" si="2"/>
        <v>0</v>
      </c>
      <c r="L81" s="52">
        <f t="shared" si="3"/>
        <v>0</v>
      </c>
    </row>
    <row r="82" spans="3:12" s="53" customFormat="1" ht="27" customHeight="1">
      <c r="C82" s="46" t="s">
        <v>1098</v>
      </c>
      <c r="D82" s="47" t="s">
        <v>1024</v>
      </c>
      <c r="E82" s="48" t="s">
        <v>351</v>
      </c>
      <c r="F82" s="48" t="s">
        <v>378</v>
      </c>
      <c r="G82" s="49">
        <v>6</v>
      </c>
      <c r="H82" s="50">
        <v>0</v>
      </c>
      <c r="I82" s="50">
        <v>0</v>
      </c>
      <c r="J82" s="50">
        <v>0</v>
      </c>
      <c r="K82" s="50">
        <f t="shared" si="2"/>
        <v>0</v>
      </c>
      <c r="L82" s="52">
        <f t="shared" si="3"/>
        <v>0</v>
      </c>
    </row>
    <row r="83" spans="3:12" s="53" customFormat="1" ht="27" customHeight="1">
      <c r="C83" s="46" t="s">
        <v>1099</v>
      </c>
      <c r="D83" s="47" t="s">
        <v>1038</v>
      </c>
      <c r="E83" s="136" t="s">
        <v>2124</v>
      </c>
      <c r="F83" s="48" t="s">
        <v>26</v>
      </c>
      <c r="G83" s="49">
        <v>4</v>
      </c>
      <c r="H83" s="50">
        <v>0</v>
      </c>
      <c r="I83" s="50">
        <v>0</v>
      </c>
      <c r="J83" s="50">
        <v>0</v>
      </c>
      <c r="K83" s="50">
        <f>+H83+I83+J83</f>
        <v>0</v>
      </c>
      <c r="L83" s="52">
        <f>+G83*K83</f>
        <v>0</v>
      </c>
    </row>
    <row r="84" spans="3:12" s="53" customFormat="1" ht="27" customHeight="1">
      <c r="C84" s="46" t="s">
        <v>1100</v>
      </c>
      <c r="D84" s="47" t="s">
        <v>1039</v>
      </c>
      <c r="E84" s="136" t="s">
        <v>2124</v>
      </c>
      <c r="F84" s="48" t="s">
        <v>26</v>
      </c>
      <c r="G84" s="49">
        <v>6</v>
      </c>
      <c r="H84" s="50">
        <v>0</v>
      </c>
      <c r="I84" s="50">
        <v>0</v>
      </c>
      <c r="J84" s="50">
        <v>0</v>
      </c>
      <c r="K84" s="50">
        <f>+H84+I84+J84</f>
        <v>0</v>
      </c>
      <c r="L84" s="52">
        <f>+G84*K84</f>
        <v>0</v>
      </c>
    </row>
    <row r="85" spans="3:12" s="53" customFormat="1" ht="27" customHeight="1">
      <c r="C85" s="46" t="s">
        <v>1101</v>
      </c>
      <c r="D85" s="47" t="s">
        <v>1040</v>
      </c>
      <c r="E85" s="136" t="s">
        <v>2124</v>
      </c>
      <c r="F85" s="48" t="s">
        <v>26</v>
      </c>
      <c r="G85" s="49">
        <v>2</v>
      </c>
      <c r="H85" s="50">
        <v>0</v>
      </c>
      <c r="I85" s="50">
        <v>0</v>
      </c>
      <c r="J85" s="50">
        <v>0</v>
      </c>
      <c r="K85" s="50">
        <f>+H85+I85+J85</f>
        <v>0</v>
      </c>
      <c r="L85" s="52">
        <f>+G85*K85</f>
        <v>0</v>
      </c>
    </row>
    <row r="86" spans="3:12" s="53" customFormat="1" ht="27" customHeight="1">
      <c r="C86" s="46" t="s">
        <v>1102</v>
      </c>
      <c r="D86" s="47" t="s">
        <v>2130</v>
      </c>
      <c r="E86" s="48" t="s">
        <v>2172</v>
      </c>
      <c r="F86" s="48" t="s">
        <v>26</v>
      </c>
      <c r="G86" s="49">
        <v>1</v>
      </c>
      <c r="H86" s="50">
        <v>0</v>
      </c>
      <c r="I86" s="50">
        <v>0</v>
      </c>
      <c r="J86" s="50">
        <v>0</v>
      </c>
      <c r="K86" s="50">
        <f t="shared" si="2"/>
        <v>0</v>
      </c>
      <c r="L86" s="52">
        <f t="shared" si="3"/>
        <v>0</v>
      </c>
    </row>
    <row r="87" spans="3:12" s="53" customFormat="1" ht="27" customHeight="1">
      <c r="C87" s="46"/>
      <c r="D87" s="47"/>
      <c r="E87" s="48"/>
      <c r="F87" s="48"/>
      <c r="G87" s="49"/>
      <c r="H87" s="50"/>
      <c r="I87" s="50"/>
      <c r="J87" s="50"/>
      <c r="K87" s="50"/>
      <c r="L87" s="52"/>
    </row>
    <row r="88" spans="3:12" s="53" customFormat="1" ht="27" customHeight="1">
      <c r="C88" s="208" t="s">
        <v>1103</v>
      </c>
      <c r="D88" s="159" t="s">
        <v>2251</v>
      </c>
      <c r="E88" s="48"/>
      <c r="F88" s="48"/>
      <c r="G88" s="49"/>
      <c r="H88" s="50"/>
      <c r="I88" s="50"/>
      <c r="J88" s="50"/>
      <c r="K88" s="50"/>
      <c r="L88" s="52"/>
    </row>
    <row r="89" spans="3:12" s="53" customFormat="1" ht="27" customHeight="1">
      <c r="C89" s="46"/>
      <c r="D89" s="47"/>
      <c r="E89" s="48"/>
      <c r="F89" s="48"/>
      <c r="G89" s="49"/>
      <c r="H89" s="50"/>
      <c r="I89" s="50"/>
      <c r="J89" s="50"/>
      <c r="K89" s="50"/>
      <c r="L89" s="52"/>
    </row>
    <row r="90" spans="3:12" s="53" customFormat="1" ht="27" customHeight="1">
      <c r="C90" s="46" t="s">
        <v>1104</v>
      </c>
      <c r="D90" s="47" t="s">
        <v>2228</v>
      </c>
      <c r="E90" s="48" t="s">
        <v>351</v>
      </c>
      <c r="F90" s="48" t="s">
        <v>378</v>
      </c>
      <c r="G90" s="49">
        <v>1</v>
      </c>
      <c r="H90" s="50">
        <v>0</v>
      </c>
      <c r="I90" s="50">
        <v>0</v>
      </c>
      <c r="J90" s="50">
        <v>0</v>
      </c>
      <c r="K90" s="50">
        <f t="shared" si="2"/>
        <v>0</v>
      </c>
      <c r="L90" s="52">
        <f t="shared" si="3"/>
        <v>0</v>
      </c>
    </row>
    <row r="91" spans="3:12" s="53" customFormat="1" ht="27" customHeight="1">
      <c r="C91" s="46" t="s">
        <v>1105</v>
      </c>
      <c r="D91" s="47" t="s">
        <v>1026</v>
      </c>
      <c r="E91" s="48" t="s">
        <v>351</v>
      </c>
      <c r="F91" s="48" t="s">
        <v>378</v>
      </c>
      <c r="G91" s="49">
        <v>1</v>
      </c>
      <c r="H91" s="50">
        <v>0</v>
      </c>
      <c r="I91" s="50">
        <v>0</v>
      </c>
      <c r="J91" s="50">
        <v>0</v>
      </c>
      <c r="K91" s="50">
        <f t="shared" si="2"/>
        <v>0</v>
      </c>
      <c r="L91" s="52">
        <f t="shared" si="3"/>
        <v>0</v>
      </c>
    </row>
    <row r="92" spans="3:12" s="53" customFormat="1" ht="27" customHeight="1">
      <c r="C92" s="46" t="s">
        <v>1106</v>
      </c>
      <c r="D92" s="47" t="s">
        <v>1018</v>
      </c>
      <c r="E92" s="48" t="s">
        <v>1865</v>
      </c>
      <c r="F92" s="48" t="s">
        <v>378</v>
      </c>
      <c r="G92" s="49">
        <v>3</v>
      </c>
      <c r="H92" s="50">
        <v>0</v>
      </c>
      <c r="I92" s="50">
        <v>0</v>
      </c>
      <c r="J92" s="50">
        <v>0</v>
      </c>
      <c r="K92" s="50">
        <f t="shared" si="2"/>
        <v>0</v>
      </c>
      <c r="L92" s="52">
        <f t="shared" si="3"/>
        <v>0</v>
      </c>
    </row>
    <row r="93" spans="3:12" s="53" customFormat="1" ht="27" customHeight="1">
      <c r="C93" s="46" t="s">
        <v>1107</v>
      </c>
      <c r="D93" s="47" t="s">
        <v>1019</v>
      </c>
      <c r="E93" s="48" t="s">
        <v>351</v>
      </c>
      <c r="F93" s="48" t="s">
        <v>378</v>
      </c>
      <c r="G93" s="49">
        <v>3</v>
      </c>
      <c r="H93" s="50">
        <v>0</v>
      </c>
      <c r="I93" s="50">
        <v>0</v>
      </c>
      <c r="J93" s="50">
        <v>0</v>
      </c>
      <c r="K93" s="50">
        <f t="shared" si="2"/>
        <v>0</v>
      </c>
      <c r="L93" s="52">
        <f t="shared" si="3"/>
        <v>0</v>
      </c>
    </row>
    <row r="94" spans="3:12" s="53" customFormat="1" ht="27" customHeight="1">
      <c r="C94" s="46" t="s">
        <v>1108</v>
      </c>
      <c r="D94" s="47" t="s">
        <v>1064</v>
      </c>
      <c r="E94" s="48" t="s">
        <v>351</v>
      </c>
      <c r="F94" s="48" t="s">
        <v>378</v>
      </c>
      <c r="G94" s="49">
        <v>3</v>
      </c>
      <c r="H94" s="50">
        <v>0</v>
      </c>
      <c r="I94" s="50">
        <v>0</v>
      </c>
      <c r="J94" s="50">
        <v>0</v>
      </c>
      <c r="K94" s="50">
        <f t="shared" ref="K94:K101" si="4">+H94+I94+J94</f>
        <v>0</v>
      </c>
      <c r="L94" s="52">
        <f t="shared" ref="L94:L101" si="5">+G94*K94</f>
        <v>0</v>
      </c>
    </row>
    <row r="95" spans="3:12" s="53" customFormat="1" ht="27" customHeight="1">
      <c r="C95" s="46" t="s">
        <v>1109</v>
      </c>
      <c r="D95" s="47" t="s">
        <v>1067</v>
      </c>
      <c r="E95" s="48" t="s">
        <v>351</v>
      </c>
      <c r="F95" s="48" t="s">
        <v>378</v>
      </c>
      <c r="G95" s="49">
        <v>2</v>
      </c>
      <c r="H95" s="50">
        <v>0</v>
      </c>
      <c r="I95" s="50">
        <v>0</v>
      </c>
      <c r="J95" s="50">
        <v>0</v>
      </c>
      <c r="K95" s="50">
        <f t="shared" si="4"/>
        <v>0</v>
      </c>
      <c r="L95" s="52">
        <f t="shared" si="5"/>
        <v>0</v>
      </c>
    </row>
    <row r="96" spans="3:12" s="53" customFormat="1" ht="27" customHeight="1">
      <c r="C96" s="46" t="s">
        <v>1110</v>
      </c>
      <c r="D96" s="47" t="s">
        <v>1025</v>
      </c>
      <c r="E96" s="48" t="s">
        <v>351</v>
      </c>
      <c r="F96" s="48" t="s">
        <v>378</v>
      </c>
      <c r="G96" s="49">
        <v>7</v>
      </c>
      <c r="H96" s="50">
        <v>0</v>
      </c>
      <c r="I96" s="50">
        <v>0</v>
      </c>
      <c r="J96" s="50">
        <v>0</v>
      </c>
      <c r="K96" s="50">
        <f t="shared" si="4"/>
        <v>0</v>
      </c>
      <c r="L96" s="52">
        <f t="shared" si="5"/>
        <v>0</v>
      </c>
    </row>
    <row r="97" spans="3:12" s="53" customFormat="1" ht="27" customHeight="1">
      <c r="C97" s="46" t="s">
        <v>1111</v>
      </c>
      <c r="D97" s="47" t="s">
        <v>1024</v>
      </c>
      <c r="E97" s="48" t="s">
        <v>351</v>
      </c>
      <c r="F97" s="48" t="s">
        <v>378</v>
      </c>
      <c r="G97" s="49">
        <v>17</v>
      </c>
      <c r="H97" s="50">
        <v>0</v>
      </c>
      <c r="I97" s="50">
        <v>0</v>
      </c>
      <c r="J97" s="50">
        <v>0</v>
      </c>
      <c r="K97" s="50">
        <f t="shared" si="4"/>
        <v>0</v>
      </c>
      <c r="L97" s="52">
        <f t="shared" si="5"/>
        <v>0</v>
      </c>
    </row>
    <row r="98" spans="3:12" s="53" customFormat="1" ht="27" customHeight="1">
      <c r="C98" s="46" t="s">
        <v>1112</v>
      </c>
      <c r="D98" s="47" t="s">
        <v>1037</v>
      </c>
      <c r="E98" s="136" t="s">
        <v>2124</v>
      </c>
      <c r="F98" s="48" t="s">
        <v>26</v>
      </c>
      <c r="G98" s="49">
        <v>4</v>
      </c>
      <c r="H98" s="50">
        <v>0</v>
      </c>
      <c r="I98" s="50">
        <v>0</v>
      </c>
      <c r="J98" s="50">
        <v>0</v>
      </c>
      <c r="K98" s="50">
        <f t="shared" si="4"/>
        <v>0</v>
      </c>
      <c r="L98" s="52">
        <f t="shared" si="5"/>
        <v>0</v>
      </c>
    </row>
    <row r="99" spans="3:12" s="53" customFormat="1" ht="27" customHeight="1">
      <c r="C99" s="46" t="s">
        <v>1113</v>
      </c>
      <c r="D99" s="47" t="s">
        <v>1039</v>
      </c>
      <c r="E99" s="136" t="s">
        <v>2124</v>
      </c>
      <c r="F99" s="48" t="s">
        <v>26</v>
      </c>
      <c r="G99" s="49">
        <v>34</v>
      </c>
      <c r="H99" s="50">
        <v>0</v>
      </c>
      <c r="I99" s="50">
        <v>0</v>
      </c>
      <c r="J99" s="50">
        <v>0</v>
      </c>
      <c r="K99" s="50">
        <f t="shared" si="4"/>
        <v>0</v>
      </c>
      <c r="L99" s="52">
        <f t="shared" si="5"/>
        <v>0</v>
      </c>
    </row>
    <row r="100" spans="3:12" s="53" customFormat="1" ht="27" customHeight="1">
      <c r="C100" s="46" t="s">
        <v>1114</v>
      </c>
      <c r="D100" s="47" t="s">
        <v>1040</v>
      </c>
      <c r="E100" s="136" t="s">
        <v>2124</v>
      </c>
      <c r="F100" s="48" t="s">
        <v>26</v>
      </c>
      <c r="G100" s="49">
        <v>2</v>
      </c>
      <c r="H100" s="50">
        <v>0</v>
      </c>
      <c r="I100" s="50">
        <v>0</v>
      </c>
      <c r="J100" s="50">
        <v>0</v>
      </c>
      <c r="K100" s="50">
        <f t="shared" si="4"/>
        <v>0</v>
      </c>
      <c r="L100" s="52">
        <f t="shared" si="5"/>
        <v>0</v>
      </c>
    </row>
    <row r="101" spans="3:12" s="53" customFormat="1" ht="27" customHeight="1">
      <c r="C101" s="46" t="s">
        <v>1115</v>
      </c>
      <c r="D101" s="47" t="s">
        <v>2131</v>
      </c>
      <c r="E101" s="48" t="s">
        <v>2172</v>
      </c>
      <c r="F101" s="48" t="s">
        <v>26</v>
      </c>
      <c r="G101" s="49">
        <v>1</v>
      </c>
      <c r="H101" s="50">
        <v>0</v>
      </c>
      <c r="I101" s="50">
        <v>0</v>
      </c>
      <c r="J101" s="50">
        <v>0</v>
      </c>
      <c r="K101" s="50">
        <f t="shared" si="4"/>
        <v>0</v>
      </c>
      <c r="L101" s="52">
        <f t="shared" si="5"/>
        <v>0</v>
      </c>
    </row>
    <row r="102" spans="3:12" s="53" customFormat="1" ht="27" customHeight="1">
      <c r="C102" s="46"/>
      <c r="D102" s="47"/>
      <c r="E102" s="48"/>
      <c r="F102" s="48"/>
      <c r="G102" s="49"/>
      <c r="H102" s="50"/>
      <c r="I102" s="50"/>
      <c r="J102" s="50"/>
      <c r="K102" s="50"/>
      <c r="L102" s="52"/>
    </row>
    <row r="103" spans="3:12" s="53" customFormat="1" ht="27" customHeight="1">
      <c r="C103" s="207" t="s">
        <v>1116</v>
      </c>
      <c r="D103" s="159" t="s">
        <v>2252</v>
      </c>
      <c r="E103" s="48"/>
      <c r="F103" s="48"/>
      <c r="G103" s="49"/>
      <c r="H103" s="50"/>
      <c r="I103" s="50"/>
      <c r="J103" s="50"/>
      <c r="K103" s="50"/>
      <c r="L103" s="52"/>
    </row>
    <row r="104" spans="3:12" s="53" customFormat="1" ht="27" customHeight="1">
      <c r="C104" s="46"/>
      <c r="D104" s="47"/>
      <c r="E104" s="48"/>
      <c r="F104" s="48"/>
      <c r="G104" s="49"/>
      <c r="H104" s="50"/>
      <c r="I104" s="50"/>
      <c r="J104" s="50"/>
      <c r="K104" s="50"/>
      <c r="L104" s="52"/>
    </row>
    <row r="105" spans="3:12" s="53" customFormat="1" ht="27" customHeight="1">
      <c r="C105" s="46" t="s">
        <v>1118</v>
      </c>
      <c r="D105" s="47" t="s">
        <v>2230</v>
      </c>
      <c r="E105" s="48" t="s">
        <v>351</v>
      </c>
      <c r="F105" s="48" t="s">
        <v>378</v>
      </c>
      <c r="G105" s="49">
        <v>1</v>
      </c>
      <c r="H105" s="50">
        <v>0</v>
      </c>
      <c r="I105" s="50">
        <v>0</v>
      </c>
      <c r="J105" s="50">
        <v>0</v>
      </c>
      <c r="K105" s="50">
        <f t="shared" si="2"/>
        <v>0</v>
      </c>
      <c r="L105" s="52">
        <f t="shared" si="3"/>
        <v>0</v>
      </c>
    </row>
    <row r="106" spans="3:12" s="53" customFormat="1" ht="27" customHeight="1">
      <c r="C106" s="46" t="s">
        <v>1119</v>
      </c>
      <c r="D106" s="47" t="s">
        <v>1117</v>
      </c>
      <c r="E106" s="48" t="s">
        <v>351</v>
      </c>
      <c r="F106" s="48" t="s">
        <v>378</v>
      </c>
      <c r="G106" s="49">
        <v>1</v>
      </c>
      <c r="H106" s="50">
        <v>0</v>
      </c>
      <c r="I106" s="50">
        <v>0</v>
      </c>
      <c r="J106" s="50">
        <v>0</v>
      </c>
      <c r="K106" s="50">
        <f t="shared" si="2"/>
        <v>0</v>
      </c>
      <c r="L106" s="52">
        <f t="shared" si="3"/>
        <v>0</v>
      </c>
    </row>
    <row r="107" spans="3:12" s="53" customFormat="1" ht="27" customHeight="1">
      <c r="C107" s="46" t="s">
        <v>1120</v>
      </c>
      <c r="D107" s="47" t="s">
        <v>1018</v>
      </c>
      <c r="E107" s="48" t="s">
        <v>1865</v>
      </c>
      <c r="F107" s="48" t="s">
        <v>378</v>
      </c>
      <c r="G107" s="49">
        <v>3</v>
      </c>
      <c r="H107" s="50">
        <v>0</v>
      </c>
      <c r="I107" s="50">
        <v>0</v>
      </c>
      <c r="J107" s="50">
        <v>0</v>
      </c>
      <c r="K107" s="50">
        <f t="shared" si="2"/>
        <v>0</v>
      </c>
      <c r="L107" s="52">
        <f t="shared" si="3"/>
        <v>0</v>
      </c>
    </row>
    <row r="108" spans="3:12" s="53" customFormat="1" ht="27" customHeight="1">
      <c r="C108" s="46" t="s">
        <v>1121</v>
      </c>
      <c r="D108" s="47" t="s">
        <v>1019</v>
      </c>
      <c r="E108" s="48" t="s">
        <v>351</v>
      </c>
      <c r="F108" s="48" t="s">
        <v>378</v>
      </c>
      <c r="G108" s="49">
        <v>3</v>
      </c>
      <c r="H108" s="50">
        <v>0</v>
      </c>
      <c r="I108" s="50">
        <v>0</v>
      </c>
      <c r="J108" s="50">
        <v>0</v>
      </c>
      <c r="K108" s="50">
        <f t="shared" si="2"/>
        <v>0</v>
      </c>
      <c r="L108" s="52">
        <f t="shared" si="3"/>
        <v>0</v>
      </c>
    </row>
    <row r="109" spans="3:12" s="53" customFormat="1" ht="27" customHeight="1">
      <c r="C109" s="46" t="s">
        <v>1122</v>
      </c>
      <c r="D109" s="47" t="s">
        <v>1020</v>
      </c>
      <c r="E109" s="48" t="s">
        <v>2126</v>
      </c>
      <c r="F109" s="48" t="s">
        <v>378</v>
      </c>
      <c r="G109" s="49">
        <v>3</v>
      </c>
      <c r="H109" s="50">
        <v>0</v>
      </c>
      <c r="I109" s="50">
        <v>0</v>
      </c>
      <c r="J109" s="50">
        <v>0</v>
      </c>
      <c r="K109" s="50">
        <f t="shared" si="2"/>
        <v>0</v>
      </c>
      <c r="L109" s="52">
        <f t="shared" si="3"/>
        <v>0</v>
      </c>
    </row>
    <row r="110" spans="3:12" s="53" customFormat="1" ht="27" customHeight="1">
      <c r="C110" s="46" t="s">
        <v>1123</v>
      </c>
      <c r="D110" s="47" t="s">
        <v>1021</v>
      </c>
      <c r="E110" s="48" t="s">
        <v>2126</v>
      </c>
      <c r="F110" s="48" t="s">
        <v>378</v>
      </c>
      <c r="G110" s="49">
        <v>3</v>
      </c>
      <c r="H110" s="50">
        <v>0</v>
      </c>
      <c r="I110" s="50">
        <v>0</v>
      </c>
      <c r="J110" s="50">
        <v>0</v>
      </c>
      <c r="K110" s="50">
        <f t="shared" si="2"/>
        <v>0</v>
      </c>
      <c r="L110" s="52">
        <f t="shared" si="3"/>
        <v>0</v>
      </c>
    </row>
    <row r="111" spans="3:12" s="53" customFormat="1" ht="27" customHeight="1">
      <c r="C111" s="46" t="s">
        <v>1124</v>
      </c>
      <c r="D111" s="47" t="s">
        <v>1022</v>
      </c>
      <c r="E111" s="48" t="s">
        <v>2125</v>
      </c>
      <c r="F111" s="48" t="s">
        <v>378</v>
      </c>
      <c r="G111" s="49">
        <v>1</v>
      </c>
      <c r="H111" s="50">
        <v>0</v>
      </c>
      <c r="I111" s="50">
        <v>0</v>
      </c>
      <c r="J111" s="50">
        <v>0</v>
      </c>
      <c r="K111" s="50">
        <f t="shared" si="2"/>
        <v>0</v>
      </c>
      <c r="L111" s="52">
        <f t="shared" si="3"/>
        <v>0</v>
      </c>
    </row>
    <row r="112" spans="3:12" s="53" customFormat="1" ht="27" customHeight="1">
      <c r="C112" s="46" t="s">
        <v>1125</v>
      </c>
      <c r="D112" s="47" t="s">
        <v>1064</v>
      </c>
      <c r="E112" s="48" t="s">
        <v>351</v>
      </c>
      <c r="F112" s="48" t="s">
        <v>378</v>
      </c>
      <c r="G112" s="49">
        <v>3</v>
      </c>
      <c r="H112" s="50">
        <v>0</v>
      </c>
      <c r="I112" s="50">
        <v>0</v>
      </c>
      <c r="J112" s="50">
        <v>0</v>
      </c>
      <c r="K112" s="50">
        <f t="shared" si="2"/>
        <v>0</v>
      </c>
      <c r="L112" s="52">
        <f t="shared" si="3"/>
        <v>0</v>
      </c>
    </row>
    <row r="113" spans="3:12" s="53" customFormat="1" ht="27" customHeight="1">
      <c r="C113" s="46" t="s">
        <v>1126</v>
      </c>
      <c r="D113" s="47" t="s">
        <v>1035</v>
      </c>
      <c r="E113" s="48" t="s">
        <v>351</v>
      </c>
      <c r="F113" s="48" t="s">
        <v>378</v>
      </c>
      <c r="G113" s="49">
        <v>1</v>
      </c>
      <c r="H113" s="50">
        <v>0</v>
      </c>
      <c r="I113" s="50">
        <v>0</v>
      </c>
      <c r="J113" s="50">
        <v>0</v>
      </c>
      <c r="K113" s="50">
        <f t="shared" si="2"/>
        <v>0</v>
      </c>
      <c r="L113" s="52">
        <f t="shared" si="3"/>
        <v>0</v>
      </c>
    </row>
    <row r="114" spans="3:12" s="53" customFormat="1" ht="27" customHeight="1">
      <c r="C114" s="46" t="s">
        <v>1127</v>
      </c>
      <c r="D114" s="47" t="s">
        <v>1025</v>
      </c>
      <c r="E114" s="48" t="s">
        <v>351</v>
      </c>
      <c r="F114" s="48" t="s">
        <v>378</v>
      </c>
      <c r="G114" s="49">
        <v>2</v>
      </c>
      <c r="H114" s="50">
        <v>0</v>
      </c>
      <c r="I114" s="50">
        <v>0</v>
      </c>
      <c r="J114" s="50">
        <v>0</v>
      </c>
      <c r="K114" s="50">
        <f t="shared" si="2"/>
        <v>0</v>
      </c>
      <c r="L114" s="52">
        <f t="shared" si="3"/>
        <v>0</v>
      </c>
    </row>
    <row r="115" spans="3:12" s="53" customFormat="1" ht="27" customHeight="1">
      <c r="C115" s="46" t="s">
        <v>1128</v>
      </c>
      <c r="D115" s="47" t="s">
        <v>1024</v>
      </c>
      <c r="E115" s="48" t="s">
        <v>351</v>
      </c>
      <c r="F115" s="48" t="s">
        <v>378</v>
      </c>
      <c r="G115" s="49">
        <v>19</v>
      </c>
      <c r="H115" s="50">
        <v>0</v>
      </c>
      <c r="I115" s="50">
        <v>0</v>
      </c>
      <c r="J115" s="50">
        <v>0</v>
      </c>
      <c r="K115" s="50">
        <f t="shared" si="2"/>
        <v>0</v>
      </c>
      <c r="L115" s="52">
        <f t="shared" si="3"/>
        <v>0</v>
      </c>
    </row>
    <row r="116" spans="3:12" s="53" customFormat="1" ht="27" customHeight="1">
      <c r="C116" s="46" t="s">
        <v>1129</v>
      </c>
      <c r="D116" s="47" t="s">
        <v>1034</v>
      </c>
      <c r="E116" s="48" t="s">
        <v>351</v>
      </c>
      <c r="F116" s="48" t="s">
        <v>378</v>
      </c>
      <c r="G116" s="49">
        <v>1</v>
      </c>
      <c r="H116" s="50">
        <v>0</v>
      </c>
      <c r="I116" s="50">
        <v>0</v>
      </c>
      <c r="J116" s="50">
        <v>0</v>
      </c>
      <c r="K116" s="50">
        <f t="shared" si="2"/>
        <v>0</v>
      </c>
      <c r="L116" s="52">
        <f t="shared" si="3"/>
        <v>0</v>
      </c>
    </row>
    <row r="117" spans="3:12" s="53" customFormat="1" ht="27" customHeight="1">
      <c r="C117" s="46" t="s">
        <v>1130</v>
      </c>
      <c r="D117" s="47" t="s">
        <v>1038</v>
      </c>
      <c r="E117" s="136" t="s">
        <v>2124</v>
      </c>
      <c r="F117" s="48" t="s">
        <v>26</v>
      </c>
      <c r="G117" s="49">
        <v>3</v>
      </c>
      <c r="H117" s="50">
        <v>0</v>
      </c>
      <c r="I117" s="50">
        <v>0</v>
      </c>
      <c r="J117" s="50">
        <v>0</v>
      </c>
      <c r="K117" s="50">
        <f>+H117+I117+J117</f>
        <v>0</v>
      </c>
      <c r="L117" s="52">
        <f>+G117*K117</f>
        <v>0</v>
      </c>
    </row>
    <row r="118" spans="3:12" s="53" customFormat="1" ht="27" customHeight="1">
      <c r="C118" s="46" t="s">
        <v>1131</v>
      </c>
      <c r="D118" s="47" t="s">
        <v>1039</v>
      </c>
      <c r="E118" s="136" t="s">
        <v>2124</v>
      </c>
      <c r="F118" s="48" t="s">
        <v>26</v>
      </c>
      <c r="G118" s="49">
        <v>25</v>
      </c>
      <c r="H118" s="50">
        <v>0</v>
      </c>
      <c r="I118" s="50">
        <v>0</v>
      </c>
      <c r="J118" s="50">
        <v>0</v>
      </c>
      <c r="K118" s="50">
        <f>+H118+I118+J118</f>
        <v>0</v>
      </c>
      <c r="L118" s="52">
        <f>+G118*K118</f>
        <v>0</v>
      </c>
    </row>
    <row r="119" spans="3:12" s="53" customFormat="1" ht="27" customHeight="1">
      <c r="C119" s="46" t="s">
        <v>1132</v>
      </c>
      <c r="D119" s="47" t="s">
        <v>1040</v>
      </c>
      <c r="E119" s="136" t="s">
        <v>2124</v>
      </c>
      <c r="F119" s="48" t="s">
        <v>26</v>
      </c>
      <c r="G119" s="49">
        <v>2</v>
      </c>
      <c r="H119" s="50">
        <v>0</v>
      </c>
      <c r="I119" s="50">
        <v>0</v>
      </c>
      <c r="J119" s="50">
        <v>0</v>
      </c>
      <c r="K119" s="50">
        <f>+H119+I119+J119</f>
        <v>0</v>
      </c>
      <c r="L119" s="52">
        <f>+G119*K119</f>
        <v>0</v>
      </c>
    </row>
    <row r="120" spans="3:12" s="53" customFormat="1" ht="27" customHeight="1">
      <c r="C120" s="46" t="s">
        <v>1133</v>
      </c>
      <c r="D120" s="47" t="s">
        <v>2131</v>
      </c>
      <c r="E120" s="48" t="s">
        <v>2172</v>
      </c>
      <c r="F120" s="48" t="s">
        <v>26</v>
      </c>
      <c r="G120" s="49">
        <v>1</v>
      </c>
      <c r="H120" s="50">
        <v>0</v>
      </c>
      <c r="I120" s="50">
        <v>0</v>
      </c>
      <c r="J120" s="50">
        <v>0</v>
      </c>
      <c r="K120" s="50">
        <f>+H120+I120+J120</f>
        <v>0</v>
      </c>
      <c r="L120" s="52">
        <f>+G120*K120</f>
        <v>0</v>
      </c>
    </row>
    <row r="121" spans="3:12" s="53" customFormat="1" ht="27" customHeight="1">
      <c r="C121" s="46"/>
      <c r="D121" s="47"/>
      <c r="E121" s="48"/>
      <c r="F121" s="48"/>
      <c r="G121" s="49"/>
      <c r="H121" s="50"/>
      <c r="I121" s="50"/>
      <c r="J121" s="50"/>
      <c r="K121" s="50"/>
      <c r="L121" s="52"/>
    </row>
    <row r="122" spans="3:12" s="53" customFormat="1" ht="27" customHeight="1">
      <c r="C122" s="207" t="s">
        <v>1134</v>
      </c>
      <c r="D122" s="159" t="s">
        <v>2253</v>
      </c>
      <c r="E122" s="48"/>
      <c r="F122" s="48"/>
      <c r="G122" s="49"/>
      <c r="H122" s="50"/>
      <c r="I122" s="50"/>
      <c r="J122" s="50"/>
      <c r="K122" s="50"/>
      <c r="L122" s="52"/>
    </row>
    <row r="123" spans="3:12" s="53" customFormat="1" ht="27" customHeight="1">
      <c r="C123" s="46"/>
      <c r="D123" s="47"/>
      <c r="E123" s="48"/>
      <c r="F123" s="48"/>
      <c r="G123" s="49"/>
      <c r="H123" s="50"/>
      <c r="I123" s="50"/>
      <c r="J123" s="50"/>
      <c r="K123" s="50"/>
      <c r="L123" s="52"/>
    </row>
    <row r="124" spans="3:12" s="53" customFormat="1" ht="27" customHeight="1">
      <c r="C124" s="46" t="s">
        <v>1135</v>
      </c>
      <c r="D124" s="47" t="s">
        <v>2230</v>
      </c>
      <c r="E124" s="48" t="s">
        <v>351</v>
      </c>
      <c r="F124" s="48" t="s">
        <v>378</v>
      </c>
      <c r="G124" s="49">
        <v>1</v>
      </c>
      <c r="H124" s="50">
        <v>0</v>
      </c>
      <c r="I124" s="50">
        <v>0</v>
      </c>
      <c r="J124" s="50">
        <v>0</v>
      </c>
      <c r="K124" s="50">
        <f t="shared" si="2"/>
        <v>0</v>
      </c>
      <c r="L124" s="52">
        <f t="shared" si="3"/>
        <v>0</v>
      </c>
    </row>
    <row r="125" spans="3:12" s="53" customFormat="1" ht="27" customHeight="1">
      <c r="C125" s="46" t="s">
        <v>1136</v>
      </c>
      <c r="D125" s="47" t="s">
        <v>1117</v>
      </c>
      <c r="E125" s="48" t="s">
        <v>351</v>
      </c>
      <c r="F125" s="48" t="s">
        <v>378</v>
      </c>
      <c r="G125" s="49">
        <v>1</v>
      </c>
      <c r="H125" s="50">
        <v>0</v>
      </c>
      <c r="I125" s="50">
        <v>0</v>
      </c>
      <c r="J125" s="50">
        <v>0</v>
      </c>
      <c r="K125" s="50">
        <f t="shared" si="2"/>
        <v>0</v>
      </c>
      <c r="L125" s="52">
        <f t="shared" si="3"/>
        <v>0</v>
      </c>
    </row>
    <row r="126" spans="3:12" s="53" customFormat="1" ht="27" customHeight="1">
      <c r="C126" s="46" t="s">
        <v>1137</v>
      </c>
      <c r="D126" s="47" t="s">
        <v>1018</v>
      </c>
      <c r="E126" s="48" t="s">
        <v>1865</v>
      </c>
      <c r="F126" s="48" t="s">
        <v>378</v>
      </c>
      <c r="G126" s="49">
        <v>3</v>
      </c>
      <c r="H126" s="50">
        <v>0</v>
      </c>
      <c r="I126" s="50">
        <v>0</v>
      </c>
      <c r="J126" s="50">
        <v>0</v>
      </c>
      <c r="K126" s="50">
        <f t="shared" si="2"/>
        <v>0</v>
      </c>
      <c r="L126" s="52">
        <f t="shared" si="3"/>
        <v>0</v>
      </c>
    </row>
    <row r="127" spans="3:12" s="53" customFormat="1" ht="27" customHeight="1">
      <c r="C127" s="46" t="s">
        <v>1138</v>
      </c>
      <c r="D127" s="47" t="s">
        <v>1019</v>
      </c>
      <c r="E127" s="48" t="s">
        <v>351</v>
      </c>
      <c r="F127" s="48" t="s">
        <v>378</v>
      </c>
      <c r="G127" s="49">
        <v>3</v>
      </c>
      <c r="H127" s="50">
        <v>0</v>
      </c>
      <c r="I127" s="50">
        <v>0</v>
      </c>
      <c r="J127" s="50">
        <v>0</v>
      </c>
      <c r="K127" s="50">
        <f t="shared" si="2"/>
        <v>0</v>
      </c>
      <c r="L127" s="52">
        <f t="shared" si="3"/>
        <v>0</v>
      </c>
    </row>
    <row r="128" spans="3:12" s="53" customFormat="1" ht="27" customHeight="1">
      <c r="C128" s="46" t="s">
        <v>1139</v>
      </c>
      <c r="D128" s="47" t="s">
        <v>1020</v>
      </c>
      <c r="E128" s="48" t="s">
        <v>2126</v>
      </c>
      <c r="F128" s="48" t="s">
        <v>378</v>
      </c>
      <c r="G128" s="49">
        <v>1</v>
      </c>
      <c r="H128" s="50">
        <v>0</v>
      </c>
      <c r="I128" s="50">
        <v>0</v>
      </c>
      <c r="J128" s="50">
        <v>0</v>
      </c>
      <c r="K128" s="50">
        <f t="shared" si="2"/>
        <v>0</v>
      </c>
      <c r="L128" s="52">
        <f t="shared" si="3"/>
        <v>0</v>
      </c>
    </row>
    <row r="129" spans="3:12" s="53" customFormat="1" ht="27" customHeight="1">
      <c r="C129" s="46" t="s">
        <v>1140</v>
      </c>
      <c r="D129" s="47" t="s">
        <v>1021</v>
      </c>
      <c r="E129" s="48" t="s">
        <v>2126</v>
      </c>
      <c r="F129" s="48" t="s">
        <v>378</v>
      </c>
      <c r="G129" s="49">
        <v>3</v>
      </c>
      <c r="H129" s="50">
        <v>0</v>
      </c>
      <c r="I129" s="50">
        <v>0</v>
      </c>
      <c r="J129" s="50">
        <v>0</v>
      </c>
      <c r="K129" s="50">
        <f t="shared" si="2"/>
        <v>0</v>
      </c>
      <c r="L129" s="52">
        <f t="shared" si="3"/>
        <v>0</v>
      </c>
    </row>
    <row r="130" spans="3:12" s="53" customFormat="1" ht="27" customHeight="1">
      <c r="C130" s="46" t="s">
        <v>1141</v>
      </c>
      <c r="D130" s="47" t="s">
        <v>1022</v>
      </c>
      <c r="E130" s="48" t="s">
        <v>2125</v>
      </c>
      <c r="F130" s="48" t="s">
        <v>378</v>
      </c>
      <c r="G130" s="49">
        <v>1</v>
      </c>
      <c r="H130" s="50">
        <v>0</v>
      </c>
      <c r="I130" s="50">
        <v>0</v>
      </c>
      <c r="J130" s="50">
        <v>0</v>
      </c>
      <c r="K130" s="50">
        <f t="shared" si="2"/>
        <v>0</v>
      </c>
      <c r="L130" s="52">
        <f t="shared" si="3"/>
        <v>0</v>
      </c>
    </row>
    <row r="131" spans="3:12" s="53" customFormat="1" ht="27" customHeight="1">
      <c r="C131" s="46" t="s">
        <v>1142</v>
      </c>
      <c r="D131" s="47" t="s">
        <v>1023</v>
      </c>
      <c r="E131" s="48" t="s">
        <v>351</v>
      </c>
      <c r="F131" s="48" t="s">
        <v>378</v>
      </c>
      <c r="G131" s="49">
        <v>1</v>
      </c>
      <c r="H131" s="50">
        <v>0</v>
      </c>
      <c r="I131" s="50">
        <v>0</v>
      </c>
      <c r="J131" s="50">
        <v>0</v>
      </c>
      <c r="K131" s="50">
        <f t="shared" si="2"/>
        <v>0</v>
      </c>
      <c r="L131" s="52">
        <f t="shared" si="3"/>
        <v>0</v>
      </c>
    </row>
    <row r="132" spans="3:12" s="53" customFormat="1" ht="27" customHeight="1">
      <c r="C132" s="46" t="s">
        <v>1143</v>
      </c>
      <c r="D132" s="47" t="s">
        <v>1064</v>
      </c>
      <c r="E132" s="48" t="s">
        <v>351</v>
      </c>
      <c r="F132" s="48" t="s">
        <v>378</v>
      </c>
      <c r="G132" s="49">
        <v>2</v>
      </c>
      <c r="H132" s="50">
        <v>0</v>
      </c>
      <c r="I132" s="50">
        <v>0</v>
      </c>
      <c r="J132" s="50">
        <v>0</v>
      </c>
      <c r="K132" s="50">
        <f t="shared" si="2"/>
        <v>0</v>
      </c>
      <c r="L132" s="52">
        <f t="shared" si="3"/>
        <v>0</v>
      </c>
    </row>
    <row r="133" spans="3:12" s="53" customFormat="1" ht="27" customHeight="1">
      <c r="C133" s="46" t="s">
        <v>1144</v>
      </c>
      <c r="D133" s="47" t="s">
        <v>1024</v>
      </c>
      <c r="E133" s="48" t="s">
        <v>351</v>
      </c>
      <c r="F133" s="48" t="s">
        <v>378</v>
      </c>
      <c r="G133" s="49">
        <v>14</v>
      </c>
      <c r="H133" s="50">
        <v>0</v>
      </c>
      <c r="I133" s="50">
        <v>0</v>
      </c>
      <c r="J133" s="50">
        <v>0</v>
      </c>
      <c r="K133" s="50">
        <f t="shared" si="2"/>
        <v>0</v>
      </c>
      <c r="L133" s="52">
        <f t="shared" si="3"/>
        <v>0</v>
      </c>
    </row>
    <row r="134" spans="3:12" s="53" customFormat="1" ht="27" customHeight="1">
      <c r="C134" s="46" t="s">
        <v>1145</v>
      </c>
      <c r="D134" s="47" t="s">
        <v>1038</v>
      </c>
      <c r="E134" s="136" t="s">
        <v>2124</v>
      </c>
      <c r="F134" s="48" t="s">
        <v>26</v>
      </c>
      <c r="G134" s="49">
        <v>4</v>
      </c>
      <c r="H134" s="50">
        <v>0</v>
      </c>
      <c r="I134" s="50">
        <v>0</v>
      </c>
      <c r="J134" s="50">
        <v>0</v>
      </c>
      <c r="K134" s="50">
        <f t="shared" si="2"/>
        <v>0</v>
      </c>
      <c r="L134" s="52">
        <f t="shared" si="3"/>
        <v>0</v>
      </c>
    </row>
    <row r="135" spans="3:12" s="53" customFormat="1" ht="27" customHeight="1">
      <c r="C135" s="46" t="s">
        <v>1146</v>
      </c>
      <c r="D135" s="47" t="s">
        <v>1039</v>
      </c>
      <c r="E135" s="136" t="s">
        <v>2124</v>
      </c>
      <c r="F135" s="48" t="s">
        <v>26</v>
      </c>
      <c r="G135" s="49">
        <v>14</v>
      </c>
      <c r="H135" s="50">
        <v>0</v>
      </c>
      <c r="I135" s="50">
        <v>0</v>
      </c>
      <c r="J135" s="50">
        <v>0</v>
      </c>
      <c r="K135" s="50">
        <f t="shared" si="2"/>
        <v>0</v>
      </c>
      <c r="L135" s="52">
        <f t="shared" si="3"/>
        <v>0</v>
      </c>
    </row>
    <row r="136" spans="3:12" s="53" customFormat="1" ht="27" customHeight="1">
      <c r="C136" s="46" t="s">
        <v>1147</v>
      </c>
      <c r="D136" s="47" t="s">
        <v>1040</v>
      </c>
      <c r="E136" s="136" t="s">
        <v>2124</v>
      </c>
      <c r="F136" s="48" t="s">
        <v>26</v>
      </c>
      <c r="G136" s="49">
        <v>2</v>
      </c>
      <c r="H136" s="50">
        <v>0</v>
      </c>
      <c r="I136" s="50">
        <v>0</v>
      </c>
      <c r="J136" s="50">
        <v>0</v>
      </c>
      <c r="K136" s="50">
        <f t="shared" si="2"/>
        <v>0</v>
      </c>
      <c r="L136" s="52">
        <f t="shared" si="3"/>
        <v>0</v>
      </c>
    </row>
    <row r="137" spans="3:12" s="53" customFormat="1" ht="27" customHeight="1">
      <c r="C137" s="46" t="s">
        <v>1148</v>
      </c>
      <c r="D137" s="47" t="s">
        <v>2132</v>
      </c>
      <c r="E137" s="48" t="s">
        <v>2172</v>
      </c>
      <c r="F137" s="48" t="s">
        <v>26</v>
      </c>
      <c r="G137" s="49">
        <v>1</v>
      </c>
      <c r="H137" s="50">
        <v>0</v>
      </c>
      <c r="I137" s="50">
        <v>0</v>
      </c>
      <c r="J137" s="50">
        <v>0</v>
      </c>
      <c r="K137" s="50">
        <f t="shared" ref="K137:K201" si="6">+H137+I137+J137</f>
        <v>0</v>
      </c>
      <c r="L137" s="52">
        <f t="shared" ref="L137:L201" si="7">+G137*K137</f>
        <v>0</v>
      </c>
    </row>
    <row r="138" spans="3:12" s="53" customFormat="1" ht="27" customHeight="1">
      <c r="C138" s="46"/>
      <c r="D138" s="47"/>
      <c r="E138" s="48"/>
      <c r="F138" s="48"/>
      <c r="G138" s="49"/>
      <c r="H138" s="50"/>
      <c r="I138" s="50"/>
      <c r="J138" s="50"/>
      <c r="K138" s="50"/>
      <c r="L138" s="52"/>
    </row>
    <row r="139" spans="3:12" s="53" customFormat="1" ht="27" customHeight="1">
      <c r="C139" s="207" t="s">
        <v>1149</v>
      </c>
      <c r="D139" s="159" t="s">
        <v>2254</v>
      </c>
      <c r="E139" s="48"/>
      <c r="F139" s="48"/>
      <c r="G139" s="49"/>
      <c r="H139" s="50"/>
      <c r="I139" s="50"/>
      <c r="J139" s="50"/>
      <c r="K139" s="50"/>
      <c r="L139" s="52"/>
    </row>
    <row r="140" spans="3:12" s="53" customFormat="1" ht="27" customHeight="1">
      <c r="C140" s="46"/>
      <c r="D140" s="47"/>
      <c r="E140" s="48"/>
      <c r="F140" s="48"/>
      <c r="G140" s="49"/>
      <c r="H140" s="50"/>
      <c r="I140" s="50"/>
      <c r="J140" s="50"/>
      <c r="K140" s="50"/>
      <c r="L140" s="52"/>
    </row>
    <row r="141" spans="3:12" s="53" customFormat="1" ht="27" customHeight="1">
      <c r="C141" s="46" t="s">
        <v>1154</v>
      </c>
      <c r="D141" s="47" t="s">
        <v>2228</v>
      </c>
      <c r="E141" s="48" t="s">
        <v>351</v>
      </c>
      <c r="F141" s="48" t="s">
        <v>378</v>
      </c>
      <c r="G141" s="49">
        <v>1</v>
      </c>
      <c r="H141" s="50">
        <v>0</v>
      </c>
      <c r="I141" s="50">
        <v>0</v>
      </c>
      <c r="J141" s="50">
        <v>0</v>
      </c>
      <c r="K141" s="50">
        <f t="shared" si="6"/>
        <v>0</v>
      </c>
      <c r="L141" s="52">
        <f t="shared" si="7"/>
        <v>0</v>
      </c>
    </row>
    <row r="142" spans="3:12" s="53" customFormat="1" ht="27" customHeight="1">
      <c r="C142" s="46" t="s">
        <v>1155</v>
      </c>
      <c r="D142" s="47" t="s">
        <v>1026</v>
      </c>
      <c r="E142" s="48" t="s">
        <v>351</v>
      </c>
      <c r="F142" s="48" t="s">
        <v>378</v>
      </c>
      <c r="G142" s="49">
        <v>1</v>
      </c>
      <c r="H142" s="50">
        <v>0</v>
      </c>
      <c r="I142" s="50">
        <v>0</v>
      </c>
      <c r="J142" s="50">
        <v>0</v>
      </c>
      <c r="K142" s="50">
        <f t="shared" si="6"/>
        <v>0</v>
      </c>
      <c r="L142" s="52">
        <f t="shared" si="7"/>
        <v>0</v>
      </c>
    </row>
    <row r="143" spans="3:12" s="53" customFormat="1" ht="27" customHeight="1">
      <c r="C143" s="46" t="s">
        <v>1156</v>
      </c>
      <c r="D143" s="47" t="s">
        <v>1018</v>
      </c>
      <c r="E143" s="48" t="s">
        <v>1865</v>
      </c>
      <c r="F143" s="48" t="s">
        <v>378</v>
      </c>
      <c r="G143" s="49">
        <v>3</v>
      </c>
      <c r="H143" s="50">
        <v>0</v>
      </c>
      <c r="I143" s="50">
        <v>0</v>
      </c>
      <c r="J143" s="50">
        <v>0</v>
      </c>
      <c r="K143" s="50">
        <f t="shared" si="6"/>
        <v>0</v>
      </c>
      <c r="L143" s="52">
        <f t="shared" si="7"/>
        <v>0</v>
      </c>
    </row>
    <row r="144" spans="3:12" s="53" customFormat="1" ht="27" customHeight="1">
      <c r="C144" s="46" t="s">
        <v>1157</v>
      </c>
      <c r="D144" s="47" t="s">
        <v>1019</v>
      </c>
      <c r="E144" s="48" t="s">
        <v>351</v>
      </c>
      <c r="F144" s="48" t="s">
        <v>378</v>
      </c>
      <c r="G144" s="49">
        <v>3</v>
      </c>
      <c r="H144" s="50">
        <v>0</v>
      </c>
      <c r="I144" s="50">
        <v>0</v>
      </c>
      <c r="J144" s="50">
        <v>0</v>
      </c>
      <c r="K144" s="50">
        <f t="shared" si="6"/>
        <v>0</v>
      </c>
      <c r="L144" s="52">
        <f t="shared" si="7"/>
        <v>0</v>
      </c>
    </row>
    <row r="145" spans="3:12" s="53" customFormat="1" ht="27" customHeight="1">
      <c r="C145" s="46" t="s">
        <v>1158</v>
      </c>
      <c r="D145" s="47" t="s">
        <v>1020</v>
      </c>
      <c r="E145" s="48" t="s">
        <v>2126</v>
      </c>
      <c r="F145" s="48" t="s">
        <v>378</v>
      </c>
      <c r="G145" s="49">
        <v>1</v>
      </c>
      <c r="H145" s="50">
        <v>0</v>
      </c>
      <c r="I145" s="50">
        <v>0</v>
      </c>
      <c r="J145" s="50">
        <v>0</v>
      </c>
      <c r="K145" s="50">
        <f t="shared" si="6"/>
        <v>0</v>
      </c>
      <c r="L145" s="52">
        <f t="shared" si="7"/>
        <v>0</v>
      </c>
    </row>
    <row r="146" spans="3:12" s="53" customFormat="1" ht="27" customHeight="1">
      <c r="C146" s="46" t="s">
        <v>1159</v>
      </c>
      <c r="D146" s="47" t="s">
        <v>1021</v>
      </c>
      <c r="E146" s="48" t="s">
        <v>2126</v>
      </c>
      <c r="F146" s="48" t="s">
        <v>378</v>
      </c>
      <c r="G146" s="49">
        <v>3</v>
      </c>
      <c r="H146" s="50">
        <v>0</v>
      </c>
      <c r="I146" s="50">
        <v>0</v>
      </c>
      <c r="J146" s="50">
        <v>0</v>
      </c>
      <c r="K146" s="50">
        <f t="shared" si="6"/>
        <v>0</v>
      </c>
      <c r="L146" s="52">
        <f t="shared" si="7"/>
        <v>0</v>
      </c>
    </row>
    <row r="147" spans="3:12" s="53" customFormat="1" ht="27" customHeight="1">
      <c r="C147" s="46" t="s">
        <v>1160</v>
      </c>
      <c r="D147" s="47" t="s">
        <v>1022</v>
      </c>
      <c r="E147" s="48" t="s">
        <v>2125</v>
      </c>
      <c r="F147" s="48" t="s">
        <v>378</v>
      </c>
      <c r="G147" s="49">
        <v>1</v>
      </c>
      <c r="H147" s="50">
        <v>0</v>
      </c>
      <c r="I147" s="50">
        <v>0</v>
      </c>
      <c r="J147" s="50">
        <v>0</v>
      </c>
      <c r="K147" s="50">
        <f t="shared" si="6"/>
        <v>0</v>
      </c>
      <c r="L147" s="52">
        <f t="shared" si="7"/>
        <v>0</v>
      </c>
    </row>
    <row r="148" spans="3:12" s="53" customFormat="1" ht="27" customHeight="1">
      <c r="C148" s="46" t="s">
        <v>1161</v>
      </c>
      <c r="D148" s="47" t="s">
        <v>1064</v>
      </c>
      <c r="E148" s="48" t="s">
        <v>351</v>
      </c>
      <c r="F148" s="48" t="s">
        <v>378</v>
      </c>
      <c r="G148" s="49">
        <v>2</v>
      </c>
      <c r="H148" s="50">
        <v>0</v>
      </c>
      <c r="I148" s="50">
        <v>0</v>
      </c>
      <c r="J148" s="50">
        <v>0</v>
      </c>
      <c r="K148" s="50">
        <f t="shared" si="6"/>
        <v>0</v>
      </c>
      <c r="L148" s="52">
        <f t="shared" si="7"/>
        <v>0</v>
      </c>
    </row>
    <row r="149" spans="3:12" s="53" customFormat="1" ht="27" customHeight="1">
      <c r="C149" s="46" t="s">
        <v>1162</v>
      </c>
      <c r="D149" s="47" t="s">
        <v>1089</v>
      </c>
      <c r="E149" s="48" t="s">
        <v>351</v>
      </c>
      <c r="F149" s="48" t="s">
        <v>378</v>
      </c>
      <c r="G149" s="49">
        <v>1</v>
      </c>
      <c r="H149" s="50">
        <v>0</v>
      </c>
      <c r="I149" s="50">
        <v>0</v>
      </c>
      <c r="J149" s="50">
        <v>0</v>
      </c>
      <c r="K149" s="50">
        <f t="shared" si="6"/>
        <v>0</v>
      </c>
      <c r="L149" s="52">
        <f t="shared" si="7"/>
        <v>0</v>
      </c>
    </row>
    <row r="150" spans="3:12" s="53" customFormat="1" ht="27" customHeight="1">
      <c r="C150" s="46" t="s">
        <v>1163</v>
      </c>
      <c r="D150" s="47" t="s">
        <v>1034</v>
      </c>
      <c r="E150" s="48" t="s">
        <v>351</v>
      </c>
      <c r="F150" s="48" t="s">
        <v>378</v>
      </c>
      <c r="G150" s="49">
        <v>3</v>
      </c>
      <c r="H150" s="50">
        <v>0</v>
      </c>
      <c r="I150" s="50">
        <v>0</v>
      </c>
      <c r="J150" s="50">
        <v>0</v>
      </c>
      <c r="K150" s="50">
        <f t="shared" si="6"/>
        <v>0</v>
      </c>
      <c r="L150" s="52">
        <f t="shared" si="7"/>
        <v>0</v>
      </c>
    </row>
    <row r="151" spans="3:12" s="53" customFormat="1" ht="27" customHeight="1">
      <c r="C151" s="46" t="s">
        <v>1164</v>
      </c>
      <c r="D151" s="47" t="s">
        <v>1025</v>
      </c>
      <c r="E151" s="48" t="s">
        <v>351</v>
      </c>
      <c r="F151" s="48" t="s">
        <v>378</v>
      </c>
      <c r="G151" s="49">
        <v>1</v>
      </c>
      <c r="H151" s="50">
        <v>0</v>
      </c>
      <c r="I151" s="50">
        <v>0</v>
      </c>
      <c r="J151" s="50">
        <v>0</v>
      </c>
      <c r="K151" s="50">
        <f t="shared" si="6"/>
        <v>0</v>
      </c>
      <c r="L151" s="52">
        <f t="shared" si="7"/>
        <v>0</v>
      </c>
    </row>
    <row r="152" spans="3:12" s="53" customFormat="1" ht="27" customHeight="1">
      <c r="C152" s="46" t="s">
        <v>1165</v>
      </c>
      <c r="D152" s="47" t="s">
        <v>1150</v>
      </c>
      <c r="E152" s="48" t="s">
        <v>351</v>
      </c>
      <c r="F152" s="48" t="s">
        <v>378</v>
      </c>
      <c r="G152" s="49">
        <v>1</v>
      </c>
      <c r="H152" s="50">
        <v>0</v>
      </c>
      <c r="I152" s="50">
        <v>0</v>
      </c>
      <c r="J152" s="50">
        <v>0</v>
      </c>
      <c r="K152" s="50">
        <f t="shared" si="6"/>
        <v>0</v>
      </c>
      <c r="L152" s="52">
        <f t="shared" si="7"/>
        <v>0</v>
      </c>
    </row>
    <row r="153" spans="3:12" s="53" customFormat="1" ht="27" customHeight="1">
      <c r="C153" s="46" t="s">
        <v>1166</v>
      </c>
      <c r="D153" s="47" t="s">
        <v>1151</v>
      </c>
      <c r="E153" s="136" t="s">
        <v>2118</v>
      </c>
      <c r="F153" s="48" t="s">
        <v>378</v>
      </c>
      <c r="G153" s="49">
        <v>1</v>
      </c>
      <c r="H153" s="50">
        <v>0</v>
      </c>
      <c r="I153" s="50">
        <v>0</v>
      </c>
      <c r="J153" s="50">
        <v>0</v>
      </c>
      <c r="K153" s="50">
        <f t="shared" si="6"/>
        <v>0</v>
      </c>
      <c r="L153" s="52">
        <f t="shared" si="7"/>
        <v>0</v>
      </c>
    </row>
    <row r="154" spans="3:12" s="53" customFormat="1" ht="27" customHeight="1">
      <c r="C154" s="46" t="s">
        <v>1167</v>
      </c>
      <c r="D154" s="47" t="s">
        <v>1152</v>
      </c>
      <c r="E154" s="48" t="s">
        <v>351</v>
      </c>
      <c r="F154" s="48" t="s">
        <v>378</v>
      </c>
      <c r="G154" s="49">
        <v>1</v>
      </c>
      <c r="H154" s="50">
        <v>0</v>
      </c>
      <c r="I154" s="50">
        <v>0</v>
      </c>
      <c r="J154" s="50">
        <v>0</v>
      </c>
      <c r="K154" s="50">
        <f t="shared" si="6"/>
        <v>0</v>
      </c>
      <c r="L154" s="52">
        <f t="shared" si="7"/>
        <v>0</v>
      </c>
    </row>
    <row r="155" spans="3:12" s="53" customFormat="1" ht="27" customHeight="1">
      <c r="C155" s="46" t="s">
        <v>1168</v>
      </c>
      <c r="D155" s="47" t="s">
        <v>1033</v>
      </c>
      <c r="E155" s="48" t="s">
        <v>1042</v>
      </c>
      <c r="F155" s="48" t="s">
        <v>378</v>
      </c>
      <c r="G155" s="49">
        <v>1</v>
      </c>
      <c r="H155" s="50">
        <v>0</v>
      </c>
      <c r="I155" s="50">
        <v>0</v>
      </c>
      <c r="J155" s="50">
        <v>0</v>
      </c>
      <c r="K155" s="50">
        <f t="shared" si="6"/>
        <v>0</v>
      </c>
      <c r="L155" s="52">
        <f t="shared" si="7"/>
        <v>0</v>
      </c>
    </row>
    <row r="156" spans="3:12" s="53" customFormat="1" ht="27" customHeight="1">
      <c r="C156" s="46" t="s">
        <v>1169</v>
      </c>
      <c r="D156" s="47" t="s">
        <v>1153</v>
      </c>
      <c r="E156" s="48" t="s">
        <v>351</v>
      </c>
      <c r="F156" s="48" t="s">
        <v>378</v>
      </c>
      <c r="G156" s="49">
        <v>1</v>
      </c>
      <c r="H156" s="50">
        <v>0</v>
      </c>
      <c r="I156" s="50">
        <v>0</v>
      </c>
      <c r="J156" s="50">
        <v>0</v>
      </c>
      <c r="K156" s="50">
        <f t="shared" si="6"/>
        <v>0</v>
      </c>
      <c r="L156" s="52">
        <f t="shared" si="7"/>
        <v>0</v>
      </c>
    </row>
    <row r="157" spans="3:12" s="53" customFormat="1" ht="27" customHeight="1">
      <c r="C157" s="46" t="s">
        <v>1170</v>
      </c>
      <c r="D157" s="47" t="s">
        <v>1024</v>
      </c>
      <c r="E157" s="48" t="s">
        <v>351</v>
      </c>
      <c r="F157" s="48" t="s">
        <v>378</v>
      </c>
      <c r="G157" s="49">
        <v>20</v>
      </c>
      <c r="H157" s="50">
        <v>0</v>
      </c>
      <c r="I157" s="50">
        <v>0</v>
      </c>
      <c r="J157" s="50">
        <v>0</v>
      </c>
      <c r="K157" s="50">
        <f t="shared" si="6"/>
        <v>0</v>
      </c>
      <c r="L157" s="52">
        <f t="shared" si="7"/>
        <v>0</v>
      </c>
    </row>
    <row r="158" spans="3:12" s="53" customFormat="1" ht="27" customHeight="1">
      <c r="C158" s="46" t="s">
        <v>1171</v>
      </c>
      <c r="D158" s="47" t="s">
        <v>1028</v>
      </c>
      <c r="E158" s="48" t="s">
        <v>351</v>
      </c>
      <c r="F158" s="48" t="s">
        <v>378</v>
      </c>
      <c r="G158" s="49">
        <v>20</v>
      </c>
      <c r="H158" s="50">
        <v>0</v>
      </c>
      <c r="I158" s="50">
        <v>0</v>
      </c>
      <c r="J158" s="50">
        <v>0</v>
      </c>
      <c r="K158" s="50">
        <f t="shared" si="6"/>
        <v>0</v>
      </c>
      <c r="L158" s="52">
        <f t="shared" si="7"/>
        <v>0</v>
      </c>
    </row>
    <row r="159" spans="3:12" s="53" customFormat="1" ht="27" customHeight="1">
      <c r="C159" s="46" t="s">
        <v>1172</v>
      </c>
      <c r="D159" s="47" t="s">
        <v>1032</v>
      </c>
      <c r="E159" s="48" t="s">
        <v>351</v>
      </c>
      <c r="F159" s="48" t="s">
        <v>378</v>
      </c>
      <c r="G159" s="49">
        <v>20</v>
      </c>
      <c r="H159" s="50">
        <v>0</v>
      </c>
      <c r="I159" s="50">
        <v>0</v>
      </c>
      <c r="J159" s="50">
        <v>0</v>
      </c>
      <c r="K159" s="50">
        <f t="shared" si="6"/>
        <v>0</v>
      </c>
      <c r="L159" s="52">
        <f t="shared" si="7"/>
        <v>0</v>
      </c>
    </row>
    <row r="160" spans="3:12" s="53" customFormat="1" ht="27" customHeight="1">
      <c r="C160" s="46" t="s">
        <v>1173</v>
      </c>
      <c r="D160" s="47" t="s">
        <v>1018</v>
      </c>
      <c r="E160" s="48" t="s">
        <v>1865</v>
      </c>
      <c r="F160" s="48" t="s">
        <v>378</v>
      </c>
      <c r="G160" s="49">
        <v>40</v>
      </c>
      <c r="H160" s="50">
        <v>0</v>
      </c>
      <c r="I160" s="50">
        <v>0</v>
      </c>
      <c r="J160" s="50">
        <v>0</v>
      </c>
      <c r="K160" s="50">
        <f t="shared" si="6"/>
        <v>0</v>
      </c>
      <c r="L160" s="52">
        <f t="shared" si="7"/>
        <v>0</v>
      </c>
    </row>
    <row r="161" spans="3:12" s="53" customFormat="1" ht="27" customHeight="1">
      <c r="C161" s="46" t="s">
        <v>1174</v>
      </c>
      <c r="D161" s="47" t="s">
        <v>1033</v>
      </c>
      <c r="E161" s="48" t="s">
        <v>1042</v>
      </c>
      <c r="F161" s="48" t="s">
        <v>378</v>
      </c>
      <c r="G161" s="49">
        <v>20</v>
      </c>
      <c r="H161" s="50">
        <v>0</v>
      </c>
      <c r="I161" s="50">
        <v>0</v>
      </c>
      <c r="J161" s="50">
        <v>0</v>
      </c>
      <c r="K161" s="50">
        <f t="shared" si="6"/>
        <v>0</v>
      </c>
      <c r="L161" s="52">
        <f t="shared" si="7"/>
        <v>0</v>
      </c>
    </row>
    <row r="162" spans="3:12" s="53" customFormat="1" ht="27" customHeight="1">
      <c r="C162" s="46" t="s">
        <v>1169</v>
      </c>
      <c r="D162" s="47" t="s">
        <v>1153</v>
      </c>
      <c r="E162" s="48" t="s">
        <v>351</v>
      </c>
      <c r="F162" s="48" t="s">
        <v>378</v>
      </c>
      <c r="G162" s="49">
        <v>1</v>
      </c>
      <c r="H162" s="50">
        <v>0</v>
      </c>
      <c r="I162" s="50">
        <v>0</v>
      </c>
      <c r="J162" s="50">
        <v>0</v>
      </c>
      <c r="K162" s="50">
        <f t="shared" ref="K162:K167" si="8">+H162+I162+J162</f>
        <v>0</v>
      </c>
      <c r="L162" s="52">
        <f t="shared" ref="L162:L167" si="9">+G162*K162</f>
        <v>0</v>
      </c>
    </row>
    <row r="163" spans="3:12" s="53" customFormat="1" ht="27" customHeight="1">
      <c r="C163" s="46" t="s">
        <v>1170</v>
      </c>
      <c r="D163" s="47" t="s">
        <v>1024</v>
      </c>
      <c r="E163" s="48" t="s">
        <v>351</v>
      </c>
      <c r="F163" s="48" t="s">
        <v>378</v>
      </c>
      <c r="G163" s="49">
        <v>10</v>
      </c>
      <c r="H163" s="50">
        <v>0</v>
      </c>
      <c r="I163" s="50">
        <v>0</v>
      </c>
      <c r="J163" s="50">
        <v>0</v>
      </c>
      <c r="K163" s="50">
        <f t="shared" si="8"/>
        <v>0</v>
      </c>
      <c r="L163" s="52">
        <f t="shared" si="9"/>
        <v>0</v>
      </c>
    </row>
    <row r="164" spans="3:12" s="53" customFormat="1" ht="27" customHeight="1">
      <c r="C164" s="46" t="s">
        <v>1171</v>
      </c>
      <c r="D164" s="47" t="s">
        <v>1028</v>
      </c>
      <c r="E164" s="48" t="s">
        <v>351</v>
      </c>
      <c r="F164" s="48" t="s">
        <v>378</v>
      </c>
      <c r="G164" s="49">
        <v>10</v>
      </c>
      <c r="H164" s="50">
        <v>0</v>
      </c>
      <c r="I164" s="50">
        <v>0</v>
      </c>
      <c r="J164" s="50">
        <v>0</v>
      </c>
      <c r="K164" s="50">
        <f t="shared" si="8"/>
        <v>0</v>
      </c>
      <c r="L164" s="52">
        <f t="shared" si="9"/>
        <v>0</v>
      </c>
    </row>
    <row r="165" spans="3:12" s="53" customFormat="1" ht="27" customHeight="1">
      <c r="C165" s="46" t="s">
        <v>1172</v>
      </c>
      <c r="D165" s="47" t="s">
        <v>2284</v>
      </c>
      <c r="E165" s="48" t="s">
        <v>351</v>
      </c>
      <c r="F165" s="48" t="s">
        <v>378</v>
      </c>
      <c r="G165" s="49">
        <v>10</v>
      </c>
      <c r="H165" s="50">
        <v>0</v>
      </c>
      <c r="I165" s="50">
        <v>0</v>
      </c>
      <c r="J165" s="50">
        <v>0</v>
      </c>
      <c r="K165" s="50">
        <f t="shared" si="8"/>
        <v>0</v>
      </c>
      <c r="L165" s="52">
        <f t="shared" si="9"/>
        <v>0</v>
      </c>
    </row>
    <row r="166" spans="3:12" s="53" customFormat="1" ht="27" customHeight="1">
      <c r="C166" s="46" t="s">
        <v>1173</v>
      </c>
      <c r="D166" s="47" t="s">
        <v>1018</v>
      </c>
      <c r="E166" s="48" t="s">
        <v>1865</v>
      </c>
      <c r="F166" s="48" t="s">
        <v>378</v>
      </c>
      <c r="G166" s="49">
        <v>20</v>
      </c>
      <c r="H166" s="50">
        <v>0</v>
      </c>
      <c r="I166" s="50">
        <v>0</v>
      </c>
      <c r="J166" s="50">
        <v>0</v>
      </c>
      <c r="K166" s="50">
        <f t="shared" si="8"/>
        <v>0</v>
      </c>
      <c r="L166" s="52">
        <f t="shared" si="9"/>
        <v>0</v>
      </c>
    </row>
    <row r="167" spans="3:12" s="53" customFormat="1" ht="27" customHeight="1">
      <c r="C167" s="46" t="s">
        <v>1174</v>
      </c>
      <c r="D167" s="47" t="s">
        <v>1033</v>
      </c>
      <c r="E167" s="48" t="s">
        <v>1042</v>
      </c>
      <c r="F167" s="48" t="s">
        <v>378</v>
      </c>
      <c r="G167" s="49">
        <v>10</v>
      </c>
      <c r="H167" s="50">
        <v>0</v>
      </c>
      <c r="I167" s="50">
        <v>0</v>
      </c>
      <c r="J167" s="50">
        <v>0</v>
      </c>
      <c r="K167" s="50">
        <f t="shared" si="8"/>
        <v>0</v>
      </c>
      <c r="L167" s="52">
        <f t="shared" si="9"/>
        <v>0</v>
      </c>
    </row>
    <row r="168" spans="3:12" s="53" customFormat="1" ht="27" customHeight="1">
      <c r="C168" s="46" t="s">
        <v>1175</v>
      </c>
      <c r="D168" s="47" t="s">
        <v>1038</v>
      </c>
      <c r="E168" s="136" t="s">
        <v>2124</v>
      </c>
      <c r="F168" s="48" t="s">
        <v>26</v>
      </c>
      <c r="G168" s="49">
        <v>16</v>
      </c>
      <c r="H168" s="50">
        <v>0</v>
      </c>
      <c r="I168" s="50">
        <v>0</v>
      </c>
      <c r="J168" s="50">
        <v>0</v>
      </c>
      <c r="K168" s="50">
        <f>+H168+I168+J168</f>
        <v>0</v>
      </c>
      <c r="L168" s="52">
        <f>+G168*K168</f>
        <v>0</v>
      </c>
    </row>
    <row r="169" spans="3:12" s="53" customFormat="1" ht="27" customHeight="1">
      <c r="C169" s="46" t="s">
        <v>1176</v>
      </c>
      <c r="D169" s="47" t="s">
        <v>1039</v>
      </c>
      <c r="E169" s="136" t="s">
        <v>2124</v>
      </c>
      <c r="F169" s="48" t="s">
        <v>26</v>
      </c>
      <c r="G169" s="49">
        <v>94</v>
      </c>
      <c r="H169" s="50">
        <v>0</v>
      </c>
      <c r="I169" s="50">
        <v>0</v>
      </c>
      <c r="J169" s="50">
        <v>0</v>
      </c>
      <c r="K169" s="50">
        <f>+H169+I169+J169</f>
        <v>0</v>
      </c>
      <c r="L169" s="52">
        <f>+G169*K169</f>
        <v>0</v>
      </c>
    </row>
    <row r="170" spans="3:12" s="53" customFormat="1" ht="27" customHeight="1">
      <c r="C170" s="46" t="s">
        <v>1177</v>
      </c>
      <c r="D170" s="47" t="s">
        <v>1040</v>
      </c>
      <c r="E170" s="136" t="s">
        <v>2124</v>
      </c>
      <c r="F170" s="48" t="s">
        <v>26</v>
      </c>
      <c r="G170" s="49">
        <v>4</v>
      </c>
      <c r="H170" s="50">
        <v>0</v>
      </c>
      <c r="I170" s="50">
        <v>0</v>
      </c>
      <c r="J170" s="50">
        <v>0</v>
      </c>
      <c r="K170" s="50">
        <f>+H170+I170+J170</f>
        <v>0</v>
      </c>
      <c r="L170" s="52">
        <f>+G170*K170</f>
        <v>0</v>
      </c>
    </row>
    <row r="171" spans="3:12" s="53" customFormat="1" ht="27" customHeight="1">
      <c r="C171" s="46" t="s">
        <v>1178</v>
      </c>
      <c r="D171" s="47" t="s">
        <v>2283</v>
      </c>
      <c r="E171" s="48" t="s">
        <v>2172</v>
      </c>
      <c r="F171" s="48" t="s">
        <v>26</v>
      </c>
      <c r="G171" s="49">
        <v>1</v>
      </c>
      <c r="H171" s="50">
        <v>0</v>
      </c>
      <c r="I171" s="50">
        <v>0</v>
      </c>
      <c r="J171" s="50">
        <v>0</v>
      </c>
      <c r="K171" s="50">
        <f>+H171+I171+J171</f>
        <v>0</v>
      </c>
      <c r="L171" s="52">
        <f>+G171*K171</f>
        <v>0</v>
      </c>
    </row>
    <row r="172" spans="3:12" s="53" customFormat="1" ht="27" customHeight="1">
      <c r="C172" s="46"/>
      <c r="D172" s="47"/>
      <c r="E172" s="48"/>
      <c r="F172" s="48"/>
      <c r="G172" s="49"/>
      <c r="H172" s="50"/>
      <c r="I172" s="50"/>
      <c r="J172" s="50"/>
      <c r="K172" s="50"/>
      <c r="L172" s="52"/>
    </row>
    <row r="173" spans="3:12" s="53" customFormat="1" ht="27" customHeight="1">
      <c r="C173" s="207" t="s">
        <v>1179</v>
      </c>
      <c r="D173" s="159" t="s">
        <v>2255</v>
      </c>
      <c r="E173" s="48"/>
      <c r="F173" s="48"/>
      <c r="G173" s="49"/>
      <c r="H173" s="50"/>
      <c r="I173" s="50"/>
      <c r="J173" s="50"/>
      <c r="K173" s="50"/>
      <c r="L173" s="52"/>
    </row>
    <row r="174" spans="3:12" s="53" customFormat="1" ht="27" customHeight="1">
      <c r="C174" s="46"/>
      <c r="D174" s="47"/>
      <c r="E174" s="48"/>
      <c r="F174" s="48"/>
      <c r="G174" s="49"/>
      <c r="H174" s="50"/>
      <c r="I174" s="50"/>
      <c r="J174" s="50"/>
      <c r="K174" s="50"/>
      <c r="L174" s="52"/>
    </row>
    <row r="175" spans="3:12" s="53" customFormat="1" ht="27" customHeight="1">
      <c r="C175" s="46" t="s">
        <v>1189</v>
      </c>
      <c r="D175" s="47" t="s">
        <v>1180</v>
      </c>
      <c r="E175" s="48" t="s">
        <v>351</v>
      </c>
      <c r="F175" s="48" t="s">
        <v>378</v>
      </c>
      <c r="G175" s="49">
        <v>1</v>
      </c>
      <c r="H175" s="50">
        <v>0</v>
      </c>
      <c r="I175" s="50">
        <v>0</v>
      </c>
      <c r="J175" s="50">
        <v>0</v>
      </c>
      <c r="K175" s="50">
        <f t="shared" si="6"/>
        <v>0</v>
      </c>
      <c r="L175" s="52">
        <f t="shared" si="7"/>
        <v>0</v>
      </c>
    </row>
    <row r="176" spans="3:12" s="53" customFormat="1" ht="27" customHeight="1">
      <c r="C176" s="46" t="s">
        <v>1190</v>
      </c>
      <c r="D176" s="47" t="s">
        <v>1181</v>
      </c>
      <c r="E176" s="48" t="s">
        <v>351</v>
      </c>
      <c r="F176" s="48" t="s">
        <v>378</v>
      </c>
      <c r="G176" s="49">
        <v>1</v>
      </c>
      <c r="H176" s="50">
        <v>0</v>
      </c>
      <c r="I176" s="50">
        <v>0</v>
      </c>
      <c r="J176" s="50">
        <v>0</v>
      </c>
      <c r="K176" s="50">
        <f t="shared" si="6"/>
        <v>0</v>
      </c>
      <c r="L176" s="52">
        <f t="shared" si="7"/>
        <v>0</v>
      </c>
    </row>
    <row r="177" spans="3:12" s="53" customFormat="1" ht="27" customHeight="1">
      <c r="C177" s="46" t="s">
        <v>1191</v>
      </c>
      <c r="D177" s="47" t="s">
        <v>1182</v>
      </c>
      <c r="E177" s="48" t="s">
        <v>1188</v>
      </c>
      <c r="F177" s="48" t="s">
        <v>378</v>
      </c>
      <c r="G177" s="49">
        <v>1</v>
      </c>
      <c r="H177" s="50">
        <v>0</v>
      </c>
      <c r="I177" s="50">
        <v>0</v>
      </c>
      <c r="J177" s="50">
        <v>0</v>
      </c>
      <c r="K177" s="50">
        <f t="shared" si="6"/>
        <v>0</v>
      </c>
      <c r="L177" s="52">
        <f t="shared" si="7"/>
        <v>0</v>
      </c>
    </row>
    <row r="178" spans="3:12" s="53" customFormat="1" ht="27" customHeight="1">
      <c r="C178" s="46" t="s">
        <v>1192</v>
      </c>
      <c r="D178" s="47" t="s">
        <v>1183</v>
      </c>
      <c r="E178" s="48" t="s">
        <v>1188</v>
      </c>
      <c r="F178" s="48" t="s">
        <v>378</v>
      </c>
      <c r="G178" s="49">
        <v>1</v>
      </c>
      <c r="H178" s="50">
        <v>0</v>
      </c>
      <c r="I178" s="50">
        <v>0</v>
      </c>
      <c r="J178" s="50">
        <v>0</v>
      </c>
      <c r="K178" s="50">
        <f t="shared" si="6"/>
        <v>0</v>
      </c>
      <c r="L178" s="52">
        <f t="shared" si="7"/>
        <v>0</v>
      </c>
    </row>
    <row r="179" spans="3:12" s="53" customFormat="1" ht="27" customHeight="1">
      <c r="C179" s="46" t="s">
        <v>1193</v>
      </c>
      <c r="D179" s="47" t="s">
        <v>1184</v>
      </c>
      <c r="E179" s="48" t="s">
        <v>354</v>
      </c>
      <c r="F179" s="48" t="s">
        <v>378</v>
      </c>
      <c r="G179" s="49">
        <v>1</v>
      </c>
      <c r="H179" s="50">
        <v>0</v>
      </c>
      <c r="I179" s="50">
        <v>0</v>
      </c>
      <c r="J179" s="50">
        <v>0</v>
      </c>
      <c r="K179" s="50">
        <f t="shared" si="6"/>
        <v>0</v>
      </c>
      <c r="L179" s="52">
        <f t="shared" si="7"/>
        <v>0</v>
      </c>
    </row>
    <row r="180" spans="3:12" s="53" customFormat="1" ht="27" customHeight="1">
      <c r="C180" s="46" t="s">
        <v>1194</v>
      </c>
      <c r="D180" s="47" t="s">
        <v>1185</v>
      </c>
      <c r="E180" s="48" t="s">
        <v>354</v>
      </c>
      <c r="F180" s="48" t="s">
        <v>378</v>
      </c>
      <c r="G180" s="49">
        <v>3</v>
      </c>
      <c r="H180" s="50">
        <v>0</v>
      </c>
      <c r="I180" s="50">
        <v>0</v>
      </c>
      <c r="J180" s="50">
        <v>0</v>
      </c>
      <c r="K180" s="50">
        <f t="shared" si="6"/>
        <v>0</v>
      </c>
      <c r="L180" s="52">
        <f t="shared" si="7"/>
        <v>0</v>
      </c>
    </row>
    <row r="181" spans="3:12" s="53" customFormat="1" ht="27" customHeight="1">
      <c r="C181" s="46" t="s">
        <v>1195</v>
      </c>
      <c r="D181" s="47" t="s">
        <v>1022</v>
      </c>
      <c r="E181" s="48" t="s">
        <v>2125</v>
      </c>
      <c r="F181" s="48" t="s">
        <v>378</v>
      </c>
      <c r="G181" s="49">
        <v>1</v>
      </c>
      <c r="H181" s="50">
        <v>0</v>
      </c>
      <c r="I181" s="50">
        <v>0</v>
      </c>
      <c r="J181" s="50">
        <v>0</v>
      </c>
      <c r="K181" s="50">
        <f t="shared" si="6"/>
        <v>0</v>
      </c>
      <c r="L181" s="52">
        <f t="shared" si="7"/>
        <v>0</v>
      </c>
    </row>
    <row r="182" spans="3:12" s="53" customFormat="1" ht="27" customHeight="1">
      <c r="C182" s="46" t="s">
        <v>1196</v>
      </c>
      <c r="D182" s="47" t="s">
        <v>1023</v>
      </c>
      <c r="E182" s="48" t="s">
        <v>351</v>
      </c>
      <c r="F182" s="48" t="s">
        <v>378</v>
      </c>
      <c r="G182" s="49">
        <v>1</v>
      </c>
      <c r="H182" s="50">
        <v>0</v>
      </c>
      <c r="I182" s="50">
        <v>0</v>
      </c>
      <c r="J182" s="50">
        <v>0</v>
      </c>
      <c r="K182" s="50">
        <f t="shared" si="6"/>
        <v>0</v>
      </c>
      <c r="L182" s="52">
        <f t="shared" si="7"/>
        <v>0</v>
      </c>
    </row>
    <row r="183" spans="3:12" s="53" customFormat="1" ht="27" customHeight="1">
      <c r="C183" s="46" t="s">
        <v>1197</v>
      </c>
      <c r="D183" s="47" t="s">
        <v>1089</v>
      </c>
      <c r="E183" s="48" t="s">
        <v>351</v>
      </c>
      <c r="F183" s="48" t="s">
        <v>378</v>
      </c>
      <c r="G183" s="49">
        <v>2</v>
      </c>
      <c r="H183" s="50">
        <v>0</v>
      </c>
      <c r="I183" s="50">
        <v>0</v>
      </c>
      <c r="J183" s="50">
        <v>0</v>
      </c>
      <c r="K183" s="50">
        <f t="shared" si="6"/>
        <v>0</v>
      </c>
      <c r="L183" s="52">
        <f t="shared" si="7"/>
        <v>0</v>
      </c>
    </row>
    <row r="184" spans="3:12" s="53" customFormat="1" ht="27" customHeight="1">
      <c r="C184" s="46" t="s">
        <v>1198</v>
      </c>
      <c r="D184" s="47" t="s">
        <v>1024</v>
      </c>
      <c r="E184" s="48" t="s">
        <v>351</v>
      </c>
      <c r="F184" s="48" t="s">
        <v>378</v>
      </c>
      <c r="G184" s="49">
        <v>3</v>
      </c>
      <c r="H184" s="50">
        <v>0</v>
      </c>
      <c r="I184" s="50">
        <v>0</v>
      </c>
      <c r="J184" s="50">
        <v>0</v>
      </c>
      <c r="K184" s="50">
        <f t="shared" si="6"/>
        <v>0</v>
      </c>
      <c r="L184" s="52">
        <f t="shared" si="7"/>
        <v>0</v>
      </c>
    </row>
    <row r="185" spans="3:12" s="53" customFormat="1" ht="27" customHeight="1">
      <c r="C185" s="46" t="s">
        <v>1199</v>
      </c>
      <c r="D185" s="47" t="s">
        <v>1117</v>
      </c>
      <c r="E185" s="48" t="s">
        <v>351</v>
      </c>
      <c r="F185" s="48" t="s">
        <v>378</v>
      </c>
      <c r="G185" s="49">
        <v>4</v>
      </c>
      <c r="H185" s="50">
        <v>0</v>
      </c>
      <c r="I185" s="50">
        <v>0</v>
      </c>
      <c r="J185" s="50">
        <v>0</v>
      </c>
      <c r="K185" s="50">
        <f t="shared" si="6"/>
        <v>0</v>
      </c>
      <c r="L185" s="52">
        <f t="shared" si="7"/>
        <v>0</v>
      </c>
    </row>
    <row r="186" spans="3:12" s="53" customFormat="1" ht="27" customHeight="1">
      <c r="C186" s="46" t="s">
        <v>1200</v>
      </c>
      <c r="D186" s="47" t="s">
        <v>1027</v>
      </c>
      <c r="E186" s="48" t="s">
        <v>351</v>
      </c>
      <c r="F186" s="48" t="s">
        <v>378</v>
      </c>
      <c r="G186" s="49">
        <v>8</v>
      </c>
      <c r="H186" s="50">
        <v>0</v>
      </c>
      <c r="I186" s="50">
        <v>0</v>
      </c>
      <c r="J186" s="50">
        <v>0</v>
      </c>
      <c r="K186" s="50">
        <f t="shared" si="6"/>
        <v>0</v>
      </c>
      <c r="L186" s="52">
        <f t="shared" si="7"/>
        <v>0</v>
      </c>
    </row>
    <row r="187" spans="3:12" s="53" customFormat="1" ht="27" customHeight="1">
      <c r="C187" s="46" t="s">
        <v>1201</v>
      </c>
      <c r="D187" s="47" t="s">
        <v>1028</v>
      </c>
      <c r="E187" s="48" t="s">
        <v>351</v>
      </c>
      <c r="F187" s="48" t="s">
        <v>378</v>
      </c>
      <c r="G187" s="49">
        <v>4</v>
      </c>
      <c r="H187" s="50">
        <v>0</v>
      </c>
      <c r="I187" s="50">
        <v>0</v>
      </c>
      <c r="J187" s="50">
        <v>0</v>
      </c>
      <c r="K187" s="50">
        <f t="shared" si="6"/>
        <v>0</v>
      </c>
      <c r="L187" s="52">
        <f t="shared" si="7"/>
        <v>0</v>
      </c>
    </row>
    <row r="188" spans="3:12" s="53" customFormat="1" ht="27" customHeight="1">
      <c r="C188" s="46" t="s">
        <v>1202</v>
      </c>
      <c r="D188" s="47" t="s">
        <v>1186</v>
      </c>
      <c r="E188" s="48" t="s">
        <v>351</v>
      </c>
      <c r="F188" s="48" t="s">
        <v>378</v>
      </c>
      <c r="G188" s="49">
        <v>4</v>
      </c>
      <c r="H188" s="50">
        <v>0</v>
      </c>
      <c r="I188" s="50">
        <v>0</v>
      </c>
      <c r="J188" s="50">
        <v>0</v>
      </c>
      <c r="K188" s="50">
        <f t="shared" si="6"/>
        <v>0</v>
      </c>
      <c r="L188" s="52">
        <f t="shared" si="7"/>
        <v>0</v>
      </c>
    </row>
    <row r="189" spans="3:12" s="53" customFormat="1" ht="27" customHeight="1">
      <c r="C189" s="46" t="s">
        <v>1203</v>
      </c>
      <c r="D189" s="47" t="s">
        <v>1033</v>
      </c>
      <c r="E189" s="48" t="s">
        <v>1042</v>
      </c>
      <c r="F189" s="48" t="s">
        <v>378</v>
      </c>
      <c r="G189" s="49">
        <v>4</v>
      </c>
      <c r="H189" s="50">
        <v>0</v>
      </c>
      <c r="I189" s="50">
        <v>0</v>
      </c>
      <c r="J189" s="50">
        <v>0</v>
      </c>
      <c r="K189" s="50">
        <f t="shared" si="6"/>
        <v>0</v>
      </c>
      <c r="L189" s="52">
        <f t="shared" si="7"/>
        <v>0</v>
      </c>
    </row>
    <row r="190" spans="3:12" s="53" customFormat="1" ht="27" customHeight="1">
      <c r="C190" s="46" t="s">
        <v>1204</v>
      </c>
      <c r="D190" s="47" t="s">
        <v>1018</v>
      </c>
      <c r="E190" s="48" t="s">
        <v>1865</v>
      </c>
      <c r="F190" s="48" t="s">
        <v>378</v>
      </c>
      <c r="G190" s="49">
        <v>8</v>
      </c>
      <c r="H190" s="50">
        <v>0</v>
      </c>
      <c r="I190" s="50">
        <v>0</v>
      </c>
      <c r="J190" s="50">
        <v>0</v>
      </c>
      <c r="K190" s="50">
        <f t="shared" si="6"/>
        <v>0</v>
      </c>
      <c r="L190" s="52">
        <f t="shared" si="7"/>
        <v>0</v>
      </c>
    </row>
    <row r="191" spans="3:12" s="53" customFormat="1" ht="27" customHeight="1">
      <c r="C191" s="46" t="s">
        <v>1205</v>
      </c>
      <c r="D191" s="47" t="s">
        <v>1187</v>
      </c>
      <c r="E191" s="136" t="s">
        <v>2118</v>
      </c>
      <c r="F191" s="48" t="s">
        <v>378</v>
      </c>
      <c r="G191" s="49">
        <v>4</v>
      </c>
      <c r="H191" s="50">
        <v>0</v>
      </c>
      <c r="I191" s="50">
        <v>0</v>
      </c>
      <c r="J191" s="50">
        <v>0</v>
      </c>
      <c r="K191" s="50">
        <f t="shared" si="6"/>
        <v>0</v>
      </c>
      <c r="L191" s="52">
        <f t="shared" si="7"/>
        <v>0</v>
      </c>
    </row>
    <row r="192" spans="3:12" s="53" customFormat="1" ht="27" customHeight="1">
      <c r="C192" s="46" t="s">
        <v>1206</v>
      </c>
      <c r="D192" s="47" t="s">
        <v>1037</v>
      </c>
      <c r="E192" s="136" t="s">
        <v>2124</v>
      </c>
      <c r="F192" s="48" t="s">
        <v>26</v>
      </c>
      <c r="G192" s="49">
        <v>16</v>
      </c>
      <c r="H192" s="50">
        <v>0</v>
      </c>
      <c r="I192" s="50">
        <v>0</v>
      </c>
      <c r="J192" s="50">
        <v>0</v>
      </c>
      <c r="K192" s="50">
        <f t="shared" si="6"/>
        <v>0</v>
      </c>
      <c r="L192" s="52">
        <f t="shared" si="7"/>
        <v>0</v>
      </c>
    </row>
    <row r="193" spans="3:12" s="53" customFormat="1" ht="27" customHeight="1">
      <c r="C193" s="46" t="s">
        <v>1207</v>
      </c>
      <c r="D193" s="47" t="s">
        <v>1038</v>
      </c>
      <c r="E193" s="136" t="s">
        <v>2124</v>
      </c>
      <c r="F193" s="48" t="s">
        <v>26</v>
      </c>
      <c r="G193" s="49">
        <v>8</v>
      </c>
      <c r="H193" s="50">
        <v>0</v>
      </c>
      <c r="I193" s="50">
        <v>0</v>
      </c>
      <c r="J193" s="50">
        <v>0</v>
      </c>
      <c r="K193" s="50">
        <f t="shared" si="6"/>
        <v>0</v>
      </c>
      <c r="L193" s="52">
        <f t="shared" si="7"/>
        <v>0</v>
      </c>
    </row>
    <row r="194" spans="3:12" s="53" customFormat="1" ht="27" customHeight="1">
      <c r="C194" s="46" t="s">
        <v>1208</v>
      </c>
      <c r="D194" s="47" t="s">
        <v>1039</v>
      </c>
      <c r="E194" s="136" t="s">
        <v>2124</v>
      </c>
      <c r="F194" s="48" t="s">
        <v>26</v>
      </c>
      <c r="G194" s="49">
        <v>3</v>
      </c>
      <c r="H194" s="50">
        <v>0</v>
      </c>
      <c r="I194" s="50">
        <v>0</v>
      </c>
      <c r="J194" s="50">
        <v>0</v>
      </c>
      <c r="K194" s="50">
        <f t="shared" si="6"/>
        <v>0</v>
      </c>
      <c r="L194" s="52">
        <f t="shared" si="7"/>
        <v>0</v>
      </c>
    </row>
    <row r="195" spans="3:12" s="53" customFormat="1" ht="27" customHeight="1">
      <c r="C195" s="46" t="s">
        <v>1209</v>
      </c>
      <c r="D195" s="47" t="s">
        <v>1040</v>
      </c>
      <c r="E195" s="136" t="s">
        <v>2124</v>
      </c>
      <c r="F195" s="48" t="s">
        <v>26</v>
      </c>
      <c r="G195" s="49">
        <v>2</v>
      </c>
      <c r="H195" s="50">
        <v>0</v>
      </c>
      <c r="I195" s="50">
        <v>0</v>
      </c>
      <c r="J195" s="50">
        <v>0</v>
      </c>
      <c r="K195" s="50">
        <f t="shared" si="6"/>
        <v>0</v>
      </c>
      <c r="L195" s="52">
        <f t="shared" si="7"/>
        <v>0</v>
      </c>
    </row>
    <row r="196" spans="3:12" s="53" customFormat="1" ht="27" customHeight="1">
      <c r="C196" s="46" t="s">
        <v>1210</v>
      </c>
      <c r="D196" s="47" t="s">
        <v>2306</v>
      </c>
      <c r="E196" s="48" t="s">
        <v>2172</v>
      </c>
      <c r="F196" s="48" t="s">
        <v>26</v>
      </c>
      <c r="G196" s="49">
        <v>1</v>
      </c>
      <c r="H196" s="50">
        <v>0</v>
      </c>
      <c r="I196" s="50">
        <v>0</v>
      </c>
      <c r="J196" s="50">
        <v>0</v>
      </c>
      <c r="K196" s="50">
        <f t="shared" si="6"/>
        <v>0</v>
      </c>
      <c r="L196" s="52">
        <f t="shared" si="7"/>
        <v>0</v>
      </c>
    </row>
    <row r="197" spans="3:12" s="53" customFormat="1" ht="27" customHeight="1">
      <c r="C197" s="46"/>
      <c r="D197" s="47"/>
      <c r="E197" s="48"/>
      <c r="F197" s="48"/>
      <c r="G197" s="49"/>
      <c r="H197" s="50"/>
      <c r="I197" s="50"/>
      <c r="J197" s="50"/>
      <c r="K197" s="50"/>
      <c r="L197" s="52"/>
    </row>
    <row r="198" spans="3:12" s="53" customFormat="1" ht="27" customHeight="1">
      <c r="C198" s="207" t="s">
        <v>1211</v>
      </c>
      <c r="D198" s="159" t="s">
        <v>2256</v>
      </c>
      <c r="E198" s="48"/>
      <c r="F198" s="48"/>
      <c r="G198" s="49"/>
      <c r="H198" s="50"/>
      <c r="I198" s="50"/>
      <c r="J198" s="50"/>
      <c r="K198" s="50"/>
      <c r="L198" s="52"/>
    </row>
    <row r="199" spans="3:12" s="53" customFormat="1" ht="27" customHeight="1">
      <c r="C199" s="46"/>
      <c r="D199" s="47"/>
      <c r="E199" s="48"/>
      <c r="F199" s="48"/>
      <c r="G199" s="49"/>
      <c r="H199" s="50"/>
      <c r="I199" s="50"/>
      <c r="J199" s="50"/>
      <c r="K199" s="50"/>
      <c r="L199" s="52"/>
    </row>
    <row r="200" spans="3:12" s="53" customFormat="1" ht="27" customHeight="1">
      <c r="C200" s="46" t="s">
        <v>1212</v>
      </c>
      <c r="D200" s="47" t="s">
        <v>1117</v>
      </c>
      <c r="E200" s="48" t="s">
        <v>351</v>
      </c>
      <c r="F200" s="48" t="s">
        <v>378</v>
      </c>
      <c r="G200" s="49">
        <v>1</v>
      </c>
      <c r="H200" s="50">
        <v>0</v>
      </c>
      <c r="I200" s="50">
        <v>0</v>
      </c>
      <c r="J200" s="50">
        <v>0</v>
      </c>
      <c r="K200" s="50">
        <f t="shared" si="6"/>
        <v>0</v>
      </c>
      <c r="L200" s="52">
        <f t="shared" si="7"/>
        <v>0</v>
      </c>
    </row>
    <row r="201" spans="3:12" s="53" customFormat="1" ht="27" customHeight="1">
      <c r="C201" s="46" t="s">
        <v>1213</v>
      </c>
      <c r="D201" s="47" t="s">
        <v>2230</v>
      </c>
      <c r="E201" s="48" t="s">
        <v>351</v>
      </c>
      <c r="F201" s="48" t="s">
        <v>378</v>
      </c>
      <c r="G201" s="49">
        <v>1</v>
      </c>
      <c r="H201" s="50">
        <v>0</v>
      </c>
      <c r="I201" s="50">
        <v>0</v>
      </c>
      <c r="J201" s="50">
        <v>0</v>
      </c>
      <c r="K201" s="50">
        <f t="shared" si="6"/>
        <v>0</v>
      </c>
      <c r="L201" s="52">
        <f t="shared" si="7"/>
        <v>0</v>
      </c>
    </row>
    <row r="202" spans="3:12" s="53" customFormat="1" ht="27" customHeight="1">
      <c r="C202" s="46" t="s">
        <v>1214</v>
      </c>
      <c r="D202" s="47" t="s">
        <v>1018</v>
      </c>
      <c r="E202" s="48" t="s">
        <v>1865</v>
      </c>
      <c r="F202" s="48" t="s">
        <v>378</v>
      </c>
      <c r="G202" s="49">
        <v>3</v>
      </c>
      <c r="H202" s="50">
        <v>0</v>
      </c>
      <c r="I202" s="50">
        <v>0</v>
      </c>
      <c r="J202" s="50">
        <v>0</v>
      </c>
      <c r="K202" s="50">
        <f t="shared" ref="K202:K260" si="10">+H202+I202+J202</f>
        <v>0</v>
      </c>
      <c r="L202" s="52">
        <f t="shared" ref="L202:L260" si="11">+G202*K202</f>
        <v>0</v>
      </c>
    </row>
    <row r="203" spans="3:12" s="53" customFormat="1" ht="27" customHeight="1">
      <c r="C203" s="46" t="s">
        <v>1215</v>
      </c>
      <c r="D203" s="47" t="s">
        <v>1019</v>
      </c>
      <c r="E203" s="48" t="s">
        <v>351</v>
      </c>
      <c r="F203" s="48" t="s">
        <v>378</v>
      </c>
      <c r="G203" s="49">
        <v>3</v>
      </c>
      <c r="H203" s="50">
        <v>0</v>
      </c>
      <c r="I203" s="50">
        <v>0</v>
      </c>
      <c r="J203" s="50">
        <v>0</v>
      </c>
      <c r="K203" s="50">
        <f t="shared" si="10"/>
        <v>0</v>
      </c>
      <c r="L203" s="52">
        <f t="shared" si="11"/>
        <v>0</v>
      </c>
    </row>
    <row r="204" spans="3:12" s="53" customFormat="1" ht="27" customHeight="1">
      <c r="C204" s="46" t="s">
        <v>1216</v>
      </c>
      <c r="D204" s="47" t="s">
        <v>1020</v>
      </c>
      <c r="E204" s="48" t="s">
        <v>2126</v>
      </c>
      <c r="F204" s="48" t="s">
        <v>378</v>
      </c>
      <c r="G204" s="49">
        <v>1</v>
      </c>
      <c r="H204" s="50">
        <v>0</v>
      </c>
      <c r="I204" s="50">
        <v>0</v>
      </c>
      <c r="J204" s="50">
        <v>0</v>
      </c>
      <c r="K204" s="50">
        <f t="shared" si="10"/>
        <v>0</v>
      </c>
      <c r="L204" s="52">
        <f t="shared" si="11"/>
        <v>0</v>
      </c>
    </row>
    <row r="205" spans="3:12" s="53" customFormat="1" ht="27" customHeight="1">
      <c r="C205" s="46" t="s">
        <v>1217</v>
      </c>
      <c r="D205" s="47" t="s">
        <v>1090</v>
      </c>
      <c r="E205" s="48" t="s">
        <v>2126</v>
      </c>
      <c r="F205" s="48" t="s">
        <v>378</v>
      </c>
      <c r="G205" s="49">
        <v>3</v>
      </c>
      <c r="H205" s="50">
        <v>0</v>
      </c>
      <c r="I205" s="50">
        <v>0</v>
      </c>
      <c r="J205" s="50">
        <v>0</v>
      </c>
      <c r="K205" s="50">
        <f t="shared" si="10"/>
        <v>0</v>
      </c>
      <c r="L205" s="52">
        <f t="shared" si="11"/>
        <v>0</v>
      </c>
    </row>
    <row r="206" spans="3:12" s="53" customFormat="1" ht="27" customHeight="1">
      <c r="C206" s="46" t="s">
        <v>1218</v>
      </c>
      <c r="D206" s="47" t="s">
        <v>1022</v>
      </c>
      <c r="E206" s="48" t="s">
        <v>2125</v>
      </c>
      <c r="F206" s="48" t="s">
        <v>378</v>
      </c>
      <c r="G206" s="49">
        <v>1</v>
      </c>
      <c r="H206" s="50">
        <v>0</v>
      </c>
      <c r="I206" s="50">
        <v>0</v>
      </c>
      <c r="J206" s="50">
        <v>0</v>
      </c>
      <c r="K206" s="50">
        <f t="shared" si="10"/>
        <v>0</v>
      </c>
      <c r="L206" s="52">
        <f t="shared" si="11"/>
        <v>0</v>
      </c>
    </row>
    <row r="207" spans="3:12" s="53" customFormat="1" ht="27" customHeight="1">
      <c r="C207" s="46" t="s">
        <v>1219</v>
      </c>
      <c r="D207" s="47" t="s">
        <v>1023</v>
      </c>
      <c r="E207" s="48" t="s">
        <v>351</v>
      </c>
      <c r="F207" s="48" t="s">
        <v>378</v>
      </c>
      <c r="G207" s="49">
        <v>1</v>
      </c>
      <c r="H207" s="50">
        <v>0</v>
      </c>
      <c r="I207" s="50">
        <v>0</v>
      </c>
      <c r="J207" s="50">
        <v>0</v>
      </c>
      <c r="K207" s="50">
        <f t="shared" si="10"/>
        <v>0</v>
      </c>
      <c r="L207" s="52">
        <f t="shared" si="11"/>
        <v>0</v>
      </c>
    </row>
    <row r="208" spans="3:12" s="53" customFormat="1" ht="27" customHeight="1">
      <c r="C208" s="46" t="s">
        <v>1220</v>
      </c>
      <c r="D208" s="47" t="s">
        <v>1024</v>
      </c>
      <c r="E208" s="48" t="s">
        <v>351</v>
      </c>
      <c r="F208" s="48" t="s">
        <v>378</v>
      </c>
      <c r="G208" s="49">
        <v>6</v>
      </c>
      <c r="H208" s="50">
        <v>0</v>
      </c>
      <c r="I208" s="50">
        <v>0</v>
      </c>
      <c r="J208" s="50">
        <v>0</v>
      </c>
      <c r="K208" s="50">
        <f t="shared" si="10"/>
        <v>0</v>
      </c>
      <c r="L208" s="52">
        <f t="shared" si="11"/>
        <v>0</v>
      </c>
    </row>
    <row r="209" spans="3:12" s="53" customFormat="1" ht="27" customHeight="1">
      <c r="C209" s="46" t="s">
        <v>1221</v>
      </c>
      <c r="D209" s="47" t="s">
        <v>1037</v>
      </c>
      <c r="E209" s="136" t="s">
        <v>2124</v>
      </c>
      <c r="F209" s="48" t="s">
        <v>26</v>
      </c>
      <c r="G209" s="49">
        <v>4</v>
      </c>
      <c r="H209" s="50">
        <v>0</v>
      </c>
      <c r="I209" s="50">
        <v>0</v>
      </c>
      <c r="J209" s="50">
        <v>0</v>
      </c>
      <c r="K209" s="50">
        <f t="shared" si="10"/>
        <v>0</v>
      </c>
      <c r="L209" s="52">
        <f t="shared" si="11"/>
        <v>0</v>
      </c>
    </row>
    <row r="210" spans="3:12" s="53" customFormat="1" ht="27" customHeight="1">
      <c r="C210" s="46" t="s">
        <v>1222</v>
      </c>
      <c r="D210" s="47" t="s">
        <v>1039</v>
      </c>
      <c r="E210" s="136" t="s">
        <v>2124</v>
      </c>
      <c r="F210" s="48" t="s">
        <v>26</v>
      </c>
      <c r="G210" s="49">
        <v>6</v>
      </c>
      <c r="H210" s="50">
        <v>0</v>
      </c>
      <c r="I210" s="50">
        <v>0</v>
      </c>
      <c r="J210" s="50">
        <v>0</v>
      </c>
      <c r="K210" s="50">
        <f t="shared" si="10"/>
        <v>0</v>
      </c>
      <c r="L210" s="52">
        <f t="shared" si="11"/>
        <v>0</v>
      </c>
    </row>
    <row r="211" spans="3:12" s="53" customFormat="1" ht="27" customHeight="1">
      <c r="C211" s="46" t="s">
        <v>1223</v>
      </c>
      <c r="D211" s="47" t="s">
        <v>1040</v>
      </c>
      <c r="E211" s="136" t="s">
        <v>2124</v>
      </c>
      <c r="F211" s="48" t="s">
        <v>26</v>
      </c>
      <c r="G211" s="49">
        <v>2</v>
      </c>
      <c r="H211" s="50">
        <v>0</v>
      </c>
      <c r="I211" s="50">
        <v>0</v>
      </c>
      <c r="J211" s="50">
        <v>0</v>
      </c>
      <c r="K211" s="50">
        <f t="shared" si="10"/>
        <v>0</v>
      </c>
      <c r="L211" s="52">
        <f t="shared" si="11"/>
        <v>0</v>
      </c>
    </row>
    <row r="212" spans="3:12" s="53" customFormat="1" ht="27" customHeight="1">
      <c r="C212" s="46" t="s">
        <v>1224</v>
      </c>
      <c r="D212" s="47" t="s">
        <v>2133</v>
      </c>
      <c r="E212" s="48" t="s">
        <v>2172</v>
      </c>
      <c r="F212" s="48" t="s">
        <v>26</v>
      </c>
      <c r="G212" s="49">
        <v>1</v>
      </c>
      <c r="H212" s="50">
        <v>0</v>
      </c>
      <c r="I212" s="50">
        <v>0</v>
      </c>
      <c r="J212" s="50">
        <v>0</v>
      </c>
      <c r="K212" s="50">
        <f t="shared" si="10"/>
        <v>0</v>
      </c>
      <c r="L212" s="52">
        <f t="shared" si="11"/>
        <v>0</v>
      </c>
    </row>
    <row r="213" spans="3:12" s="53" customFormat="1" ht="27" customHeight="1">
      <c r="C213" s="46"/>
      <c r="D213" s="47"/>
      <c r="E213" s="48"/>
      <c r="F213" s="48"/>
      <c r="G213" s="49"/>
      <c r="H213" s="50"/>
      <c r="I213" s="50"/>
      <c r="J213" s="50"/>
      <c r="K213" s="50"/>
      <c r="L213" s="52"/>
    </row>
    <row r="214" spans="3:12" s="53" customFormat="1" ht="27" customHeight="1">
      <c r="C214" s="207" t="s">
        <v>1225</v>
      </c>
      <c r="D214" s="159" t="s">
        <v>2257</v>
      </c>
      <c r="E214" s="48"/>
      <c r="F214" s="48"/>
      <c r="G214" s="49"/>
      <c r="H214" s="50"/>
      <c r="I214" s="50"/>
      <c r="J214" s="50"/>
      <c r="K214" s="50"/>
      <c r="L214" s="52"/>
    </row>
    <row r="215" spans="3:12" s="53" customFormat="1" ht="27" customHeight="1">
      <c r="C215" s="46"/>
      <c r="D215" s="47"/>
      <c r="E215" s="48"/>
      <c r="F215" s="48"/>
      <c r="G215" s="49"/>
      <c r="H215" s="50"/>
      <c r="I215" s="50"/>
      <c r="J215" s="50"/>
      <c r="K215" s="50"/>
      <c r="L215" s="52"/>
    </row>
    <row r="216" spans="3:12" s="53" customFormat="1" ht="27" customHeight="1">
      <c r="C216" s="46" t="s">
        <v>1226</v>
      </c>
      <c r="D216" s="47" t="s">
        <v>1117</v>
      </c>
      <c r="E216" s="48" t="s">
        <v>351</v>
      </c>
      <c r="F216" s="48" t="s">
        <v>378</v>
      </c>
      <c r="G216" s="49">
        <v>1</v>
      </c>
      <c r="H216" s="50">
        <v>0</v>
      </c>
      <c r="I216" s="50">
        <v>0</v>
      </c>
      <c r="J216" s="50">
        <v>0</v>
      </c>
      <c r="K216" s="50">
        <f t="shared" si="10"/>
        <v>0</v>
      </c>
      <c r="L216" s="52">
        <f t="shared" si="11"/>
        <v>0</v>
      </c>
    </row>
    <row r="217" spans="3:12" s="53" customFormat="1" ht="27" customHeight="1">
      <c r="C217" s="46" t="s">
        <v>1227</v>
      </c>
      <c r="D217" s="47" t="s">
        <v>2230</v>
      </c>
      <c r="E217" s="48" t="s">
        <v>351</v>
      </c>
      <c r="F217" s="48" t="s">
        <v>378</v>
      </c>
      <c r="G217" s="49">
        <v>1</v>
      </c>
      <c r="H217" s="50">
        <v>0</v>
      </c>
      <c r="I217" s="50">
        <v>0</v>
      </c>
      <c r="J217" s="50">
        <v>0</v>
      </c>
      <c r="K217" s="50">
        <f t="shared" si="10"/>
        <v>0</v>
      </c>
      <c r="L217" s="52">
        <f t="shared" si="11"/>
        <v>0</v>
      </c>
    </row>
    <row r="218" spans="3:12" s="53" customFormat="1" ht="27" customHeight="1">
      <c r="C218" s="46" t="s">
        <v>1228</v>
      </c>
      <c r="D218" s="47" t="s">
        <v>1018</v>
      </c>
      <c r="E218" s="48" t="s">
        <v>1865</v>
      </c>
      <c r="F218" s="48" t="s">
        <v>378</v>
      </c>
      <c r="G218" s="49">
        <v>3</v>
      </c>
      <c r="H218" s="50">
        <v>0</v>
      </c>
      <c r="I218" s="50">
        <v>0</v>
      </c>
      <c r="J218" s="50">
        <v>0</v>
      </c>
      <c r="K218" s="50">
        <f t="shared" si="10"/>
        <v>0</v>
      </c>
      <c r="L218" s="52">
        <f t="shared" si="11"/>
        <v>0</v>
      </c>
    </row>
    <row r="219" spans="3:12" s="53" customFormat="1" ht="27" customHeight="1">
      <c r="C219" s="46" t="s">
        <v>1229</v>
      </c>
      <c r="D219" s="47" t="s">
        <v>1019</v>
      </c>
      <c r="E219" s="48" t="s">
        <v>351</v>
      </c>
      <c r="F219" s="48" t="s">
        <v>378</v>
      </c>
      <c r="G219" s="49">
        <v>3</v>
      </c>
      <c r="H219" s="50">
        <v>0</v>
      </c>
      <c r="I219" s="50">
        <v>0</v>
      </c>
      <c r="J219" s="50">
        <v>0</v>
      </c>
      <c r="K219" s="50">
        <f t="shared" si="10"/>
        <v>0</v>
      </c>
      <c r="L219" s="52">
        <f t="shared" si="11"/>
        <v>0</v>
      </c>
    </row>
    <row r="220" spans="3:12" s="53" customFormat="1" ht="27" customHeight="1">
      <c r="C220" s="46" t="s">
        <v>1230</v>
      </c>
      <c r="D220" s="47" t="s">
        <v>1020</v>
      </c>
      <c r="E220" s="48" t="s">
        <v>2126</v>
      </c>
      <c r="F220" s="48" t="s">
        <v>378</v>
      </c>
      <c r="G220" s="49">
        <v>1</v>
      </c>
      <c r="H220" s="50">
        <v>0</v>
      </c>
      <c r="I220" s="50">
        <v>0</v>
      </c>
      <c r="J220" s="50">
        <v>0</v>
      </c>
      <c r="K220" s="50">
        <f t="shared" si="10"/>
        <v>0</v>
      </c>
      <c r="L220" s="52">
        <f t="shared" si="11"/>
        <v>0</v>
      </c>
    </row>
    <row r="221" spans="3:12" s="53" customFormat="1" ht="27" customHeight="1">
      <c r="C221" s="46" t="s">
        <v>1231</v>
      </c>
      <c r="D221" s="47" t="s">
        <v>1090</v>
      </c>
      <c r="E221" s="48" t="s">
        <v>2126</v>
      </c>
      <c r="F221" s="48" t="s">
        <v>378</v>
      </c>
      <c r="G221" s="49">
        <v>3</v>
      </c>
      <c r="H221" s="50">
        <v>0</v>
      </c>
      <c r="I221" s="50">
        <v>0</v>
      </c>
      <c r="J221" s="50">
        <v>0</v>
      </c>
      <c r="K221" s="50">
        <f t="shared" si="10"/>
        <v>0</v>
      </c>
      <c r="L221" s="52">
        <f t="shared" si="11"/>
        <v>0</v>
      </c>
    </row>
    <row r="222" spans="3:12" s="53" customFormat="1" ht="27" customHeight="1">
      <c r="C222" s="46" t="s">
        <v>1232</v>
      </c>
      <c r="D222" s="47" t="s">
        <v>1022</v>
      </c>
      <c r="E222" s="48" t="s">
        <v>2125</v>
      </c>
      <c r="F222" s="48" t="s">
        <v>378</v>
      </c>
      <c r="G222" s="49">
        <v>1</v>
      </c>
      <c r="H222" s="50">
        <v>0</v>
      </c>
      <c r="I222" s="50">
        <v>0</v>
      </c>
      <c r="J222" s="50">
        <v>0</v>
      </c>
      <c r="K222" s="50">
        <f t="shared" si="10"/>
        <v>0</v>
      </c>
      <c r="L222" s="52">
        <f t="shared" si="11"/>
        <v>0</v>
      </c>
    </row>
    <row r="223" spans="3:12" s="53" customFormat="1" ht="27" customHeight="1">
      <c r="C223" s="46" t="s">
        <v>1233</v>
      </c>
      <c r="D223" s="47" t="s">
        <v>1023</v>
      </c>
      <c r="E223" s="48" t="s">
        <v>351</v>
      </c>
      <c r="F223" s="48" t="s">
        <v>378</v>
      </c>
      <c r="G223" s="49">
        <v>1</v>
      </c>
      <c r="H223" s="50">
        <v>0</v>
      </c>
      <c r="I223" s="50">
        <v>0</v>
      </c>
      <c r="J223" s="50">
        <v>0</v>
      </c>
      <c r="K223" s="50">
        <f t="shared" si="10"/>
        <v>0</v>
      </c>
      <c r="L223" s="52">
        <f t="shared" si="11"/>
        <v>0</v>
      </c>
    </row>
    <row r="224" spans="3:12" s="53" customFormat="1" ht="27" customHeight="1">
      <c r="C224" s="46" t="s">
        <v>1234</v>
      </c>
      <c r="D224" s="47" t="s">
        <v>1024</v>
      </c>
      <c r="E224" s="48" t="s">
        <v>351</v>
      </c>
      <c r="F224" s="48" t="s">
        <v>378</v>
      </c>
      <c r="G224" s="49">
        <v>6</v>
      </c>
      <c r="H224" s="50">
        <v>0</v>
      </c>
      <c r="I224" s="50">
        <v>0</v>
      </c>
      <c r="J224" s="50">
        <v>0</v>
      </c>
      <c r="K224" s="50">
        <f t="shared" si="10"/>
        <v>0</v>
      </c>
      <c r="L224" s="52">
        <f t="shared" si="11"/>
        <v>0</v>
      </c>
    </row>
    <row r="225" spans="3:12" s="53" customFormat="1" ht="27" customHeight="1">
      <c r="C225" s="46" t="s">
        <v>1235</v>
      </c>
      <c r="D225" s="47" t="s">
        <v>1037</v>
      </c>
      <c r="E225" s="136" t="s">
        <v>2124</v>
      </c>
      <c r="F225" s="48" t="s">
        <v>26</v>
      </c>
      <c r="G225" s="49">
        <v>4</v>
      </c>
      <c r="H225" s="50">
        <v>0</v>
      </c>
      <c r="I225" s="50">
        <v>0</v>
      </c>
      <c r="J225" s="50">
        <v>0</v>
      </c>
      <c r="K225" s="50">
        <f t="shared" si="10"/>
        <v>0</v>
      </c>
      <c r="L225" s="52">
        <f t="shared" si="11"/>
        <v>0</v>
      </c>
    </row>
    <row r="226" spans="3:12" s="53" customFormat="1" ht="27" customHeight="1">
      <c r="C226" s="46" t="s">
        <v>1236</v>
      </c>
      <c r="D226" s="47" t="s">
        <v>1039</v>
      </c>
      <c r="E226" s="136" t="s">
        <v>2124</v>
      </c>
      <c r="F226" s="48" t="s">
        <v>26</v>
      </c>
      <c r="G226" s="49">
        <v>6</v>
      </c>
      <c r="H226" s="50">
        <v>0</v>
      </c>
      <c r="I226" s="50">
        <v>0</v>
      </c>
      <c r="J226" s="50">
        <v>0</v>
      </c>
      <c r="K226" s="50">
        <f t="shared" si="10"/>
        <v>0</v>
      </c>
      <c r="L226" s="52">
        <f t="shared" si="11"/>
        <v>0</v>
      </c>
    </row>
    <row r="227" spans="3:12" s="53" customFormat="1" ht="27" customHeight="1">
      <c r="C227" s="46" t="s">
        <v>1237</v>
      </c>
      <c r="D227" s="47" t="s">
        <v>1040</v>
      </c>
      <c r="E227" s="136" t="s">
        <v>2124</v>
      </c>
      <c r="F227" s="48" t="s">
        <v>26</v>
      </c>
      <c r="G227" s="49">
        <v>2</v>
      </c>
      <c r="H227" s="50">
        <v>0</v>
      </c>
      <c r="I227" s="50">
        <v>0</v>
      </c>
      <c r="J227" s="50">
        <v>0</v>
      </c>
      <c r="K227" s="50">
        <f t="shared" si="10"/>
        <v>0</v>
      </c>
      <c r="L227" s="52">
        <f t="shared" si="11"/>
        <v>0</v>
      </c>
    </row>
    <row r="228" spans="3:12" s="53" customFormat="1" ht="27" customHeight="1">
      <c r="C228" s="46" t="s">
        <v>1238</v>
      </c>
      <c r="D228" s="47" t="s">
        <v>2133</v>
      </c>
      <c r="E228" s="48" t="s">
        <v>2172</v>
      </c>
      <c r="F228" s="48" t="s">
        <v>26</v>
      </c>
      <c r="G228" s="49">
        <v>1</v>
      </c>
      <c r="H228" s="50">
        <v>0</v>
      </c>
      <c r="I228" s="50">
        <v>0</v>
      </c>
      <c r="J228" s="50">
        <v>0</v>
      </c>
      <c r="K228" s="50">
        <f t="shared" si="10"/>
        <v>0</v>
      </c>
      <c r="L228" s="52">
        <f t="shared" si="11"/>
        <v>0</v>
      </c>
    </row>
    <row r="229" spans="3:12" s="53" customFormat="1" ht="27" customHeight="1">
      <c r="C229" s="46"/>
      <c r="D229" s="47"/>
      <c r="E229" s="48"/>
      <c r="F229" s="48"/>
      <c r="G229" s="49"/>
      <c r="H229" s="50"/>
      <c r="I229" s="50"/>
      <c r="J229" s="50"/>
      <c r="K229" s="50"/>
      <c r="L229" s="52"/>
    </row>
    <row r="230" spans="3:12" s="53" customFormat="1" ht="27" customHeight="1">
      <c r="C230" s="207" t="s">
        <v>1239</v>
      </c>
      <c r="D230" s="159" t="s">
        <v>2258</v>
      </c>
      <c r="E230" s="48"/>
      <c r="F230" s="48"/>
      <c r="G230" s="49"/>
      <c r="H230" s="50"/>
      <c r="I230" s="50"/>
      <c r="J230" s="50"/>
      <c r="K230" s="50"/>
      <c r="L230" s="52"/>
    </row>
    <row r="231" spans="3:12" s="53" customFormat="1" ht="27" customHeight="1">
      <c r="C231" s="46"/>
      <c r="D231" s="47"/>
      <c r="E231" s="48"/>
      <c r="F231" s="48"/>
      <c r="G231" s="49"/>
      <c r="H231" s="50"/>
      <c r="I231" s="50"/>
      <c r="J231" s="50"/>
      <c r="K231" s="50"/>
      <c r="L231" s="52"/>
    </row>
    <row r="232" spans="3:12" s="53" customFormat="1" ht="27" customHeight="1">
      <c r="C232" s="46" t="s">
        <v>1240</v>
      </c>
      <c r="D232" s="47" t="s">
        <v>1117</v>
      </c>
      <c r="E232" s="48" t="s">
        <v>351</v>
      </c>
      <c r="F232" s="48" t="s">
        <v>378</v>
      </c>
      <c r="G232" s="49">
        <v>1</v>
      </c>
      <c r="H232" s="50">
        <v>0</v>
      </c>
      <c r="I232" s="50">
        <v>0</v>
      </c>
      <c r="J232" s="50">
        <v>0</v>
      </c>
      <c r="K232" s="50">
        <f t="shared" si="10"/>
        <v>0</v>
      </c>
      <c r="L232" s="52">
        <f t="shared" si="11"/>
        <v>0</v>
      </c>
    </row>
    <row r="233" spans="3:12" s="53" customFormat="1" ht="27" customHeight="1">
      <c r="C233" s="46" t="s">
        <v>1242</v>
      </c>
      <c r="D233" s="47" t="s">
        <v>2230</v>
      </c>
      <c r="E233" s="48" t="s">
        <v>351</v>
      </c>
      <c r="F233" s="48" t="s">
        <v>378</v>
      </c>
      <c r="G233" s="49">
        <v>1</v>
      </c>
      <c r="H233" s="50">
        <v>0</v>
      </c>
      <c r="I233" s="50">
        <v>0</v>
      </c>
      <c r="J233" s="50">
        <v>0</v>
      </c>
      <c r="K233" s="50">
        <f t="shared" si="10"/>
        <v>0</v>
      </c>
      <c r="L233" s="52">
        <f t="shared" si="11"/>
        <v>0</v>
      </c>
    </row>
    <row r="234" spans="3:12" s="53" customFormat="1" ht="27" customHeight="1">
      <c r="C234" s="46" t="s">
        <v>1243</v>
      </c>
      <c r="D234" s="47" t="s">
        <v>1018</v>
      </c>
      <c r="E234" s="48" t="s">
        <v>1865</v>
      </c>
      <c r="F234" s="48" t="s">
        <v>378</v>
      </c>
      <c r="G234" s="49">
        <v>3</v>
      </c>
      <c r="H234" s="50">
        <v>0</v>
      </c>
      <c r="I234" s="50">
        <v>0</v>
      </c>
      <c r="J234" s="50">
        <v>0</v>
      </c>
      <c r="K234" s="50">
        <f t="shared" si="10"/>
        <v>0</v>
      </c>
      <c r="L234" s="52">
        <f t="shared" si="11"/>
        <v>0</v>
      </c>
    </row>
    <row r="235" spans="3:12" s="53" customFormat="1" ht="27" customHeight="1">
      <c r="C235" s="46" t="s">
        <v>1244</v>
      </c>
      <c r="D235" s="47" t="s">
        <v>1019</v>
      </c>
      <c r="E235" s="48" t="s">
        <v>351</v>
      </c>
      <c r="F235" s="48" t="s">
        <v>378</v>
      </c>
      <c r="G235" s="49">
        <v>3</v>
      </c>
      <c r="H235" s="50">
        <v>0</v>
      </c>
      <c r="I235" s="50">
        <v>0</v>
      </c>
      <c r="J235" s="50">
        <v>0</v>
      </c>
      <c r="K235" s="50">
        <f t="shared" si="10"/>
        <v>0</v>
      </c>
      <c r="L235" s="52">
        <f t="shared" si="11"/>
        <v>0</v>
      </c>
    </row>
    <row r="236" spans="3:12" s="53" customFormat="1" ht="27" customHeight="1">
      <c r="C236" s="46" t="s">
        <v>1245</v>
      </c>
      <c r="D236" s="47" t="s">
        <v>1020</v>
      </c>
      <c r="E236" s="48" t="s">
        <v>2126</v>
      </c>
      <c r="F236" s="48" t="s">
        <v>378</v>
      </c>
      <c r="G236" s="49">
        <v>1</v>
      </c>
      <c r="H236" s="50">
        <v>0</v>
      </c>
      <c r="I236" s="50">
        <v>0</v>
      </c>
      <c r="J236" s="50">
        <v>0</v>
      </c>
      <c r="K236" s="50">
        <f t="shared" si="10"/>
        <v>0</v>
      </c>
      <c r="L236" s="52">
        <f t="shared" si="11"/>
        <v>0</v>
      </c>
    </row>
    <row r="237" spans="3:12" s="53" customFormat="1" ht="27" customHeight="1">
      <c r="C237" s="46" t="s">
        <v>1246</v>
      </c>
      <c r="D237" s="47" t="s">
        <v>1090</v>
      </c>
      <c r="E237" s="48" t="s">
        <v>2126</v>
      </c>
      <c r="F237" s="48" t="s">
        <v>378</v>
      </c>
      <c r="G237" s="49">
        <v>3</v>
      </c>
      <c r="H237" s="50">
        <v>0</v>
      </c>
      <c r="I237" s="50">
        <v>0</v>
      </c>
      <c r="J237" s="50">
        <v>0</v>
      </c>
      <c r="K237" s="50">
        <f t="shared" si="10"/>
        <v>0</v>
      </c>
      <c r="L237" s="52">
        <f t="shared" si="11"/>
        <v>0</v>
      </c>
    </row>
    <row r="238" spans="3:12" s="53" customFormat="1" ht="27" customHeight="1">
      <c r="C238" s="46" t="s">
        <v>1247</v>
      </c>
      <c r="D238" s="47" t="s">
        <v>1022</v>
      </c>
      <c r="E238" s="48" t="s">
        <v>2125</v>
      </c>
      <c r="F238" s="48" t="s">
        <v>378</v>
      </c>
      <c r="G238" s="49">
        <v>1</v>
      </c>
      <c r="H238" s="50">
        <v>0</v>
      </c>
      <c r="I238" s="50">
        <v>0</v>
      </c>
      <c r="J238" s="50">
        <v>0</v>
      </c>
      <c r="K238" s="50">
        <f t="shared" si="10"/>
        <v>0</v>
      </c>
      <c r="L238" s="52">
        <f t="shared" si="11"/>
        <v>0</v>
      </c>
    </row>
    <row r="239" spans="3:12" s="53" customFormat="1" ht="27" customHeight="1">
      <c r="C239" s="46" t="s">
        <v>1248</v>
      </c>
      <c r="D239" s="47" t="s">
        <v>1023</v>
      </c>
      <c r="E239" s="48" t="s">
        <v>351</v>
      </c>
      <c r="F239" s="48" t="s">
        <v>378</v>
      </c>
      <c r="G239" s="49">
        <v>1</v>
      </c>
      <c r="H239" s="50">
        <v>0</v>
      </c>
      <c r="I239" s="50">
        <v>0</v>
      </c>
      <c r="J239" s="50">
        <v>0</v>
      </c>
      <c r="K239" s="50">
        <f t="shared" si="10"/>
        <v>0</v>
      </c>
      <c r="L239" s="52">
        <f t="shared" si="11"/>
        <v>0</v>
      </c>
    </row>
    <row r="240" spans="3:12" s="53" customFormat="1" ht="27" customHeight="1">
      <c r="C240" s="46" t="s">
        <v>1249</v>
      </c>
      <c r="D240" s="47" t="s">
        <v>1024</v>
      </c>
      <c r="E240" s="48" t="s">
        <v>351</v>
      </c>
      <c r="F240" s="48" t="s">
        <v>378</v>
      </c>
      <c r="G240" s="49">
        <v>3</v>
      </c>
      <c r="H240" s="50">
        <v>0</v>
      </c>
      <c r="I240" s="50">
        <v>0</v>
      </c>
      <c r="J240" s="50">
        <v>0</v>
      </c>
      <c r="K240" s="50">
        <f t="shared" si="10"/>
        <v>0</v>
      </c>
      <c r="L240" s="52">
        <f t="shared" si="11"/>
        <v>0</v>
      </c>
    </row>
    <row r="241" spans="3:12" s="53" customFormat="1" ht="27" customHeight="1">
      <c r="C241" s="46" t="s">
        <v>1250</v>
      </c>
      <c r="D241" s="47" t="s">
        <v>1037</v>
      </c>
      <c r="E241" s="136" t="s">
        <v>2124</v>
      </c>
      <c r="F241" s="48" t="s">
        <v>26</v>
      </c>
      <c r="G241" s="49">
        <v>4</v>
      </c>
      <c r="H241" s="50">
        <v>0</v>
      </c>
      <c r="I241" s="50">
        <v>0</v>
      </c>
      <c r="J241" s="50">
        <v>0</v>
      </c>
      <c r="K241" s="50">
        <f t="shared" si="10"/>
        <v>0</v>
      </c>
      <c r="L241" s="52">
        <f t="shared" si="11"/>
        <v>0</v>
      </c>
    </row>
    <row r="242" spans="3:12" s="53" customFormat="1" ht="27" customHeight="1">
      <c r="C242" s="46" t="s">
        <v>1251</v>
      </c>
      <c r="D242" s="47" t="s">
        <v>1039</v>
      </c>
      <c r="E242" s="136" t="s">
        <v>2124</v>
      </c>
      <c r="F242" s="48" t="s">
        <v>26</v>
      </c>
      <c r="G242" s="49">
        <v>3</v>
      </c>
      <c r="H242" s="50">
        <v>0</v>
      </c>
      <c r="I242" s="50">
        <v>0</v>
      </c>
      <c r="J242" s="50">
        <v>0</v>
      </c>
      <c r="K242" s="50">
        <f t="shared" si="10"/>
        <v>0</v>
      </c>
      <c r="L242" s="52">
        <f t="shared" si="11"/>
        <v>0</v>
      </c>
    </row>
    <row r="243" spans="3:12" s="53" customFormat="1" ht="27" customHeight="1">
      <c r="C243" s="46" t="s">
        <v>1252</v>
      </c>
      <c r="D243" s="47" t="s">
        <v>1040</v>
      </c>
      <c r="E243" s="136" t="s">
        <v>2124</v>
      </c>
      <c r="F243" s="48" t="s">
        <v>26</v>
      </c>
      <c r="G243" s="49">
        <v>2</v>
      </c>
      <c r="H243" s="50">
        <v>0</v>
      </c>
      <c r="I243" s="50">
        <v>0</v>
      </c>
      <c r="J243" s="50">
        <v>0</v>
      </c>
      <c r="K243" s="50">
        <f t="shared" si="10"/>
        <v>0</v>
      </c>
      <c r="L243" s="52">
        <f t="shared" si="11"/>
        <v>0</v>
      </c>
    </row>
    <row r="244" spans="3:12" s="53" customFormat="1" ht="27" customHeight="1">
      <c r="C244" s="46" t="s">
        <v>1253</v>
      </c>
      <c r="D244" s="47" t="s">
        <v>2133</v>
      </c>
      <c r="E244" s="48" t="s">
        <v>2172</v>
      </c>
      <c r="F244" s="48" t="s">
        <v>26</v>
      </c>
      <c r="G244" s="49">
        <v>1</v>
      </c>
      <c r="H244" s="50">
        <v>0</v>
      </c>
      <c r="I244" s="50">
        <v>0</v>
      </c>
      <c r="J244" s="50">
        <v>0</v>
      </c>
      <c r="K244" s="50">
        <f t="shared" si="10"/>
        <v>0</v>
      </c>
      <c r="L244" s="52">
        <f t="shared" si="11"/>
        <v>0</v>
      </c>
    </row>
    <row r="245" spans="3:12" s="53" customFormat="1" ht="27" customHeight="1">
      <c r="C245" s="46"/>
      <c r="D245" s="47"/>
      <c r="E245" s="48"/>
      <c r="F245" s="48"/>
      <c r="G245" s="49"/>
      <c r="H245" s="50"/>
      <c r="I245" s="50"/>
      <c r="J245" s="50"/>
      <c r="K245" s="50"/>
      <c r="L245" s="52"/>
    </row>
    <row r="246" spans="3:12" s="53" customFormat="1" ht="27" customHeight="1">
      <c r="C246" s="207" t="s">
        <v>1254</v>
      </c>
      <c r="D246" s="159" t="s">
        <v>2259</v>
      </c>
      <c r="E246" s="48"/>
      <c r="F246" s="48"/>
      <c r="G246" s="49"/>
      <c r="H246" s="50"/>
      <c r="I246" s="50"/>
      <c r="J246" s="50"/>
      <c r="K246" s="50"/>
      <c r="L246" s="52"/>
    </row>
    <row r="247" spans="3:12" s="53" customFormat="1" ht="27" customHeight="1">
      <c r="C247" s="46"/>
      <c r="D247" s="47"/>
      <c r="E247" s="48"/>
      <c r="F247" s="48"/>
      <c r="G247" s="49"/>
      <c r="H247" s="50"/>
      <c r="I247" s="50"/>
      <c r="J247" s="50"/>
      <c r="K247" s="50"/>
      <c r="L247" s="52"/>
    </row>
    <row r="248" spans="3:12" s="53" customFormat="1" ht="27" customHeight="1">
      <c r="C248" s="46" t="s">
        <v>1255</v>
      </c>
      <c r="D248" s="47" t="s">
        <v>1117</v>
      </c>
      <c r="E248" s="48" t="s">
        <v>351</v>
      </c>
      <c r="F248" s="48" t="s">
        <v>378</v>
      </c>
      <c r="G248" s="49">
        <v>1</v>
      </c>
      <c r="H248" s="50">
        <v>0</v>
      </c>
      <c r="I248" s="50">
        <v>0</v>
      </c>
      <c r="J248" s="50">
        <v>0</v>
      </c>
      <c r="K248" s="50">
        <f t="shared" si="10"/>
        <v>0</v>
      </c>
      <c r="L248" s="52">
        <f t="shared" si="11"/>
        <v>0</v>
      </c>
    </row>
    <row r="249" spans="3:12" s="53" customFormat="1" ht="27" customHeight="1">
      <c r="C249" s="46" t="s">
        <v>1256</v>
      </c>
      <c r="D249" s="47" t="s">
        <v>2230</v>
      </c>
      <c r="E249" s="48" t="s">
        <v>351</v>
      </c>
      <c r="F249" s="48" t="s">
        <v>378</v>
      </c>
      <c r="G249" s="49">
        <v>1</v>
      </c>
      <c r="H249" s="50">
        <v>0</v>
      </c>
      <c r="I249" s="50">
        <v>0</v>
      </c>
      <c r="J249" s="50">
        <v>0</v>
      </c>
      <c r="K249" s="50">
        <f t="shared" si="10"/>
        <v>0</v>
      </c>
      <c r="L249" s="52">
        <f t="shared" si="11"/>
        <v>0</v>
      </c>
    </row>
    <row r="250" spans="3:12" s="53" customFormat="1" ht="27" customHeight="1">
      <c r="C250" s="46" t="s">
        <v>1257</v>
      </c>
      <c r="D250" s="47" t="s">
        <v>1018</v>
      </c>
      <c r="E250" s="48" t="s">
        <v>1865</v>
      </c>
      <c r="F250" s="48" t="s">
        <v>378</v>
      </c>
      <c r="G250" s="49">
        <v>3</v>
      </c>
      <c r="H250" s="50">
        <v>0</v>
      </c>
      <c r="I250" s="50">
        <v>0</v>
      </c>
      <c r="J250" s="50">
        <v>0</v>
      </c>
      <c r="K250" s="50">
        <f t="shared" si="10"/>
        <v>0</v>
      </c>
      <c r="L250" s="52">
        <f t="shared" si="11"/>
        <v>0</v>
      </c>
    </row>
    <row r="251" spans="3:12" s="53" customFormat="1" ht="27" customHeight="1">
      <c r="C251" s="46" t="s">
        <v>1258</v>
      </c>
      <c r="D251" s="47" t="s">
        <v>1019</v>
      </c>
      <c r="E251" s="48" t="s">
        <v>351</v>
      </c>
      <c r="F251" s="48" t="s">
        <v>378</v>
      </c>
      <c r="G251" s="49">
        <v>3</v>
      </c>
      <c r="H251" s="50">
        <v>0</v>
      </c>
      <c r="I251" s="50">
        <v>0</v>
      </c>
      <c r="J251" s="50">
        <v>0</v>
      </c>
      <c r="K251" s="50">
        <f t="shared" si="10"/>
        <v>0</v>
      </c>
      <c r="L251" s="52">
        <f t="shared" si="11"/>
        <v>0</v>
      </c>
    </row>
    <row r="252" spans="3:12" s="53" customFormat="1" ht="27" customHeight="1">
      <c r="C252" s="46" t="s">
        <v>1259</v>
      </c>
      <c r="D252" s="47" t="s">
        <v>1020</v>
      </c>
      <c r="E252" s="48" t="s">
        <v>2126</v>
      </c>
      <c r="F252" s="48" t="s">
        <v>378</v>
      </c>
      <c r="G252" s="49">
        <v>1</v>
      </c>
      <c r="H252" s="50">
        <v>0</v>
      </c>
      <c r="I252" s="50">
        <v>0</v>
      </c>
      <c r="J252" s="50">
        <v>0</v>
      </c>
      <c r="K252" s="50">
        <f t="shared" si="10"/>
        <v>0</v>
      </c>
      <c r="L252" s="52">
        <f t="shared" si="11"/>
        <v>0</v>
      </c>
    </row>
    <row r="253" spans="3:12" s="53" customFormat="1" ht="27" customHeight="1">
      <c r="C253" s="46" t="s">
        <v>1260</v>
      </c>
      <c r="D253" s="47" t="s">
        <v>1090</v>
      </c>
      <c r="E253" s="48" t="s">
        <v>2126</v>
      </c>
      <c r="F253" s="48" t="s">
        <v>378</v>
      </c>
      <c r="G253" s="49">
        <v>3</v>
      </c>
      <c r="H253" s="50">
        <v>0</v>
      </c>
      <c r="I253" s="50">
        <v>0</v>
      </c>
      <c r="J253" s="50">
        <v>0</v>
      </c>
      <c r="K253" s="50">
        <f t="shared" si="10"/>
        <v>0</v>
      </c>
      <c r="L253" s="52">
        <f t="shared" si="11"/>
        <v>0</v>
      </c>
    </row>
    <row r="254" spans="3:12" s="53" customFormat="1" ht="27" customHeight="1">
      <c r="C254" s="46" t="s">
        <v>1261</v>
      </c>
      <c r="D254" s="47" t="s">
        <v>1022</v>
      </c>
      <c r="E254" s="48" t="s">
        <v>2125</v>
      </c>
      <c r="F254" s="48" t="s">
        <v>378</v>
      </c>
      <c r="G254" s="49">
        <v>1</v>
      </c>
      <c r="H254" s="50">
        <v>0</v>
      </c>
      <c r="I254" s="50">
        <v>0</v>
      </c>
      <c r="J254" s="50">
        <v>0</v>
      </c>
      <c r="K254" s="50">
        <f t="shared" si="10"/>
        <v>0</v>
      </c>
      <c r="L254" s="52">
        <f t="shared" si="11"/>
        <v>0</v>
      </c>
    </row>
    <row r="255" spans="3:12" s="53" customFormat="1" ht="27" customHeight="1">
      <c r="C255" s="46" t="s">
        <v>1262</v>
      </c>
      <c r="D255" s="47" t="s">
        <v>1023</v>
      </c>
      <c r="E255" s="48" t="s">
        <v>351</v>
      </c>
      <c r="F255" s="48" t="s">
        <v>378</v>
      </c>
      <c r="G255" s="49">
        <v>1</v>
      </c>
      <c r="H255" s="50">
        <v>0</v>
      </c>
      <c r="I255" s="50">
        <v>0</v>
      </c>
      <c r="J255" s="50">
        <v>0</v>
      </c>
      <c r="K255" s="50">
        <f t="shared" si="10"/>
        <v>0</v>
      </c>
      <c r="L255" s="52">
        <f t="shared" si="11"/>
        <v>0</v>
      </c>
    </row>
    <row r="256" spans="3:12" s="53" customFormat="1" ht="27" customHeight="1">
      <c r="C256" s="46" t="s">
        <v>1263</v>
      </c>
      <c r="D256" s="47" t="s">
        <v>1024</v>
      </c>
      <c r="E256" s="48" t="s">
        <v>351</v>
      </c>
      <c r="F256" s="48" t="s">
        <v>378</v>
      </c>
      <c r="G256" s="49">
        <v>3</v>
      </c>
      <c r="H256" s="50">
        <v>0</v>
      </c>
      <c r="I256" s="50">
        <v>0</v>
      </c>
      <c r="J256" s="50">
        <v>0</v>
      </c>
      <c r="K256" s="50">
        <f t="shared" si="10"/>
        <v>0</v>
      </c>
      <c r="L256" s="52">
        <f t="shared" si="11"/>
        <v>0</v>
      </c>
    </row>
    <row r="257" spans="3:12" s="53" customFormat="1" ht="27" customHeight="1">
      <c r="C257" s="46" t="s">
        <v>1264</v>
      </c>
      <c r="D257" s="47" t="s">
        <v>1037</v>
      </c>
      <c r="E257" s="136" t="s">
        <v>2124</v>
      </c>
      <c r="F257" s="48" t="s">
        <v>26</v>
      </c>
      <c r="G257" s="49">
        <v>4</v>
      </c>
      <c r="H257" s="50">
        <v>0</v>
      </c>
      <c r="I257" s="50">
        <v>0</v>
      </c>
      <c r="J257" s="50">
        <v>0</v>
      </c>
      <c r="K257" s="50">
        <f t="shared" si="10"/>
        <v>0</v>
      </c>
      <c r="L257" s="52">
        <f t="shared" si="11"/>
        <v>0</v>
      </c>
    </row>
    <row r="258" spans="3:12" s="53" customFormat="1" ht="27" customHeight="1">
      <c r="C258" s="46" t="s">
        <v>1265</v>
      </c>
      <c r="D258" s="47" t="s">
        <v>1039</v>
      </c>
      <c r="E258" s="136" t="s">
        <v>2124</v>
      </c>
      <c r="F258" s="48" t="s">
        <v>26</v>
      </c>
      <c r="G258" s="49">
        <v>3</v>
      </c>
      <c r="H258" s="50">
        <v>0</v>
      </c>
      <c r="I258" s="50">
        <v>0</v>
      </c>
      <c r="J258" s="50">
        <v>0</v>
      </c>
      <c r="K258" s="50">
        <f t="shared" si="10"/>
        <v>0</v>
      </c>
      <c r="L258" s="52">
        <f t="shared" si="11"/>
        <v>0</v>
      </c>
    </row>
    <row r="259" spans="3:12" s="53" customFormat="1" ht="27" customHeight="1">
      <c r="C259" s="46" t="s">
        <v>1266</v>
      </c>
      <c r="D259" s="47" t="s">
        <v>1040</v>
      </c>
      <c r="E259" s="136" t="s">
        <v>2124</v>
      </c>
      <c r="F259" s="48" t="s">
        <v>26</v>
      </c>
      <c r="G259" s="49">
        <v>2</v>
      </c>
      <c r="H259" s="50">
        <v>0</v>
      </c>
      <c r="I259" s="50">
        <v>0</v>
      </c>
      <c r="J259" s="50">
        <v>0</v>
      </c>
      <c r="K259" s="50">
        <f t="shared" si="10"/>
        <v>0</v>
      </c>
      <c r="L259" s="52">
        <f t="shared" si="11"/>
        <v>0</v>
      </c>
    </row>
    <row r="260" spans="3:12" s="53" customFormat="1" ht="27" customHeight="1">
      <c r="C260" s="46" t="s">
        <v>1267</v>
      </c>
      <c r="D260" s="47" t="s">
        <v>2133</v>
      </c>
      <c r="E260" s="48" t="s">
        <v>2172</v>
      </c>
      <c r="F260" s="48" t="s">
        <v>26</v>
      </c>
      <c r="G260" s="49">
        <v>1</v>
      </c>
      <c r="H260" s="50">
        <v>0</v>
      </c>
      <c r="I260" s="50">
        <v>0</v>
      </c>
      <c r="J260" s="50">
        <v>0</v>
      </c>
      <c r="K260" s="50">
        <f t="shared" si="10"/>
        <v>0</v>
      </c>
      <c r="L260" s="52">
        <f t="shared" si="11"/>
        <v>0</v>
      </c>
    </row>
    <row r="261" spans="3:12" s="53" customFormat="1" ht="27" customHeight="1">
      <c r="C261" s="46"/>
      <c r="D261" s="47"/>
      <c r="E261" s="48"/>
      <c r="F261" s="48"/>
      <c r="G261" s="49"/>
      <c r="H261" s="50"/>
      <c r="I261" s="50"/>
      <c r="J261" s="50"/>
      <c r="K261" s="50"/>
      <c r="L261" s="52"/>
    </row>
    <row r="262" spans="3:12" s="53" customFormat="1" ht="27" customHeight="1">
      <c r="C262" s="207" t="s">
        <v>1268</v>
      </c>
      <c r="D262" s="159" t="s">
        <v>2260</v>
      </c>
      <c r="E262" s="48"/>
      <c r="F262" s="48"/>
      <c r="G262" s="49"/>
      <c r="H262" s="50"/>
      <c r="I262" s="50"/>
      <c r="J262" s="50"/>
      <c r="K262" s="50"/>
      <c r="L262" s="52"/>
    </row>
    <row r="263" spans="3:12" s="53" customFormat="1" ht="27" customHeight="1">
      <c r="C263" s="46"/>
      <c r="D263" s="47"/>
      <c r="E263" s="48"/>
      <c r="F263" s="48"/>
      <c r="G263" s="49"/>
      <c r="H263" s="50"/>
      <c r="I263" s="50"/>
      <c r="J263" s="50"/>
      <c r="K263" s="50"/>
      <c r="L263" s="52"/>
    </row>
    <row r="264" spans="3:12" s="53" customFormat="1" ht="27" customHeight="1">
      <c r="C264" s="46" t="s">
        <v>1269</v>
      </c>
      <c r="D264" s="47" t="s">
        <v>1020</v>
      </c>
      <c r="E264" s="48" t="s">
        <v>2126</v>
      </c>
      <c r="F264" s="48" t="s">
        <v>378</v>
      </c>
      <c r="G264" s="49">
        <v>1</v>
      </c>
      <c r="H264" s="50">
        <v>0</v>
      </c>
      <c r="I264" s="50">
        <v>0</v>
      </c>
      <c r="J264" s="50">
        <v>0</v>
      </c>
      <c r="K264" s="50">
        <f t="shared" ref="K264:K327" si="12">+H264+I264+J264</f>
        <v>0</v>
      </c>
      <c r="L264" s="52">
        <f t="shared" ref="L264:L327" si="13">+G264*K264</f>
        <v>0</v>
      </c>
    </row>
    <row r="265" spans="3:12" s="53" customFormat="1" ht="27" customHeight="1">
      <c r="C265" s="46" t="s">
        <v>1271</v>
      </c>
      <c r="D265" s="47" t="s">
        <v>1090</v>
      </c>
      <c r="E265" s="48" t="s">
        <v>2126</v>
      </c>
      <c r="F265" s="48" t="s">
        <v>378</v>
      </c>
      <c r="G265" s="49">
        <v>3</v>
      </c>
      <c r="H265" s="50">
        <v>0</v>
      </c>
      <c r="I265" s="50">
        <v>0</v>
      </c>
      <c r="J265" s="50">
        <v>0</v>
      </c>
      <c r="K265" s="50">
        <f t="shared" si="12"/>
        <v>0</v>
      </c>
      <c r="L265" s="52">
        <f t="shared" si="13"/>
        <v>0</v>
      </c>
    </row>
    <row r="266" spans="3:12" s="53" customFormat="1" ht="27" customHeight="1">
      <c r="C266" s="46" t="s">
        <v>1272</v>
      </c>
      <c r="D266" s="47" t="s">
        <v>1022</v>
      </c>
      <c r="E266" s="48" t="s">
        <v>2125</v>
      </c>
      <c r="F266" s="48" t="s">
        <v>378</v>
      </c>
      <c r="G266" s="49">
        <v>1</v>
      </c>
      <c r="H266" s="50">
        <v>0</v>
      </c>
      <c r="I266" s="50">
        <v>0</v>
      </c>
      <c r="J266" s="50">
        <v>0</v>
      </c>
      <c r="K266" s="50">
        <f t="shared" si="12"/>
        <v>0</v>
      </c>
      <c r="L266" s="52">
        <f t="shared" si="13"/>
        <v>0</v>
      </c>
    </row>
    <row r="267" spans="3:12" s="53" customFormat="1" ht="27" customHeight="1">
      <c r="C267" s="46" t="s">
        <v>1273</v>
      </c>
      <c r="D267" s="47" t="s">
        <v>1026</v>
      </c>
      <c r="E267" s="48" t="s">
        <v>351</v>
      </c>
      <c r="F267" s="48" t="s">
        <v>378</v>
      </c>
      <c r="G267" s="49">
        <v>1</v>
      </c>
      <c r="H267" s="50">
        <v>0</v>
      </c>
      <c r="I267" s="50">
        <v>0</v>
      </c>
      <c r="J267" s="50">
        <v>0</v>
      </c>
      <c r="K267" s="50">
        <f t="shared" si="12"/>
        <v>0</v>
      </c>
      <c r="L267" s="52">
        <f t="shared" si="13"/>
        <v>0</v>
      </c>
    </row>
    <row r="268" spans="3:12" s="53" customFormat="1" ht="27" customHeight="1">
      <c r="C268" s="46" t="s">
        <v>1274</v>
      </c>
      <c r="D268" s="47" t="s">
        <v>1018</v>
      </c>
      <c r="E268" s="48" t="s">
        <v>1865</v>
      </c>
      <c r="F268" s="48" t="s">
        <v>378</v>
      </c>
      <c r="G268" s="49">
        <v>3</v>
      </c>
      <c r="H268" s="50">
        <v>0</v>
      </c>
      <c r="I268" s="50">
        <v>0</v>
      </c>
      <c r="J268" s="50">
        <v>0</v>
      </c>
      <c r="K268" s="50">
        <f t="shared" si="12"/>
        <v>0</v>
      </c>
      <c r="L268" s="52">
        <f t="shared" si="13"/>
        <v>0</v>
      </c>
    </row>
    <row r="269" spans="3:12" s="53" customFormat="1" ht="27" customHeight="1">
      <c r="C269" s="46" t="s">
        <v>1275</v>
      </c>
      <c r="D269" s="47" t="s">
        <v>1019</v>
      </c>
      <c r="E269" s="48" t="s">
        <v>351</v>
      </c>
      <c r="F269" s="48" t="s">
        <v>378</v>
      </c>
      <c r="G269" s="49">
        <v>4</v>
      </c>
      <c r="H269" s="50">
        <v>0</v>
      </c>
      <c r="I269" s="50">
        <v>0</v>
      </c>
      <c r="J269" s="50">
        <v>0</v>
      </c>
      <c r="K269" s="50">
        <f t="shared" si="12"/>
        <v>0</v>
      </c>
      <c r="L269" s="52">
        <f t="shared" si="13"/>
        <v>0</v>
      </c>
    </row>
    <row r="270" spans="3:12" s="53" customFormat="1" ht="27" customHeight="1">
      <c r="C270" s="46" t="s">
        <v>1270</v>
      </c>
      <c r="D270" s="47" t="s">
        <v>1028</v>
      </c>
      <c r="E270" s="48" t="s">
        <v>351</v>
      </c>
      <c r="F270" s="48" t="s">
        <v>378</v>
      </c>
      <c r="G270" s="49">
        <v>1</v>
      </c>
      <c r="H270" s="50">
        <v>0</v>
      </c>
      <c r="I270" s="50">
        <v>0</v>
      </c>
      <c r="J270" s="50">
        <v>0</v>
      </c>
      <c r="K270" s="50">
        <f t="shared" si="12"/>
        <v>0</v>
      </c>
      <c r="L270" s="52">
        <f t="shared" si="13"/>
        <v>0</v>
      </c>
    </row>
    <row r="271" spans="3:12" s="53" customFormat="1" ht="27" customHeight="1">
      <c r="C271" s="46" t="s">
        <v>1276</v>
      </c>
      <c r="D271" s="47" t="s">
        <v>1033</v>
      </c>
      <c r="E271" s="48" t="s">
        <v>1042</v>
      </c>
      <c r="F271" s="48" t="s">
        <v>378</v>
      </c>
      <c r="G271" s="49">
        <v>1</v>
      </c>
      <c r="H271" s="50">
        <v>0</v>
      </c>
      <c r="I271" s="50">
        <v>0</v>
      </c>
      <c r="J271" s="50">
        <v>0</v>
      </c>
      <c r="K271" s="50">
        <f t="shared" si="12"/>
        <v>0</v>
      </c>
      <c r="L271" s="52">
        <f t="shared" si="13"/>
        <v>0</v>
      </c>
    </row>
    <row r="272" spans="3:12" s="53" customFormat="1" ht="27" customHeight="1">
      <c r="C272" s="46" t="s">
        <v>1277</v>
      </c>
      <c r="D272" s="47" t="s">
        <v>1151</v>
      </c>
      <c r="E272" s="136" t="s">
        <v>2118</v>
      </c>
      <c r="F272" s="48" t="s">
        <v>378</v>
      </c>
      <c r="G272" s="49">
        <v>1</v>
      </c>
      <c r="H272" s="50">
        <v>0</v>
      </c>
      <c r="I272" s="50">
        <v>0</v>
      </c>
      <c r="J272" s="50">
        <v>0</v>
      </c>
      <c r="K272" s="50">
        <f t="shared" si="12"/>
        <v>0</v>
      </c>
      <c r="L272" s="52">
        <f t="shared" si="13"/>
        <v>0</v>
      </c>
    </row>
    <row r="273" spans="3:12" s="53" customFormat="1" ht="27" customHeight="1">
      <c r="C273" s="46" t="s">
        <v>1278</v>
      </c>
      <c r="D273" s="47" t="s">
        <v>2231</v>
      </c>
      <c r="E273" s="48" t="s">
        <v>351</v>
      </c>
      <c r="F273" s="48" t="s">
        <v>378</v>
      </c>
      <c r="G273" s="49">
        <v>1</v>
      </c>
      <c r="H273" s="50">
        <v>0</v>
      </c>
      <c r="I273" s="50">
        <v>0</v>
      </c>
      <c r="J273" s="50">
        <v>0</v>
      </c>
      <c r="K273" s="50">
        <f t="shared" si="12"/>
        <v>0</v>
      </c>
      <c r="L273" s="52">
        <f t="shared" si="13"/>
        <v>0</v>
      </c>
    </row>
    <row r="274" spans="3:12" s="53" customFormat="1" ht="27" customHeight="1">
      <c r="C274" s="46" t="s">
        <v>1279</v>
      </c>
      <c r="D274" s="47" t="s">
        <v>2232</v>
      </c>
      <c r="E274" s="48" t="s">
        <v>351</v>
      </c>
      <c r="F274" s="48" t="s">
        <v>378</v>
      </c>
      <c r="G274" s="49">
        <v>4</v>
      </c>
      <c r="H274" s="50">
        <v>0</v>
      </c>
      <c r="I274" s="50">
        <v>0</v>
      </c>
      <c r="J274" s="50">
        <v>0</v>
      </c>
      <c r="K274" s="50">
        <f t="shared" si="12"/>
        <v>0</v>
      </c>
      <c r="L274" s="52">
        <f t="shared" si="13"/>
        <v>0</v>
      </c>
    </row>
    <row r="275" spans="3:12" s="53" customFormat="1" ht="27" customHeight="1">
      <c r="C275" s="46" t="s">
        <v>1280</v>
      </c>
      <c r="D275" s="47" t="s">
        <v>1034</v>
      </c>
      <c r="E275" s="48" t="s">
        <v>351</v>
      </c>
      <c r="F275" s="48" t="s">
        <v>378</v>
      </c>
      <c r="G275" s="49">
        <v>4</v>
      </c>
      <c r="H275" s="50">
        <v>0</v>
      </c>
      <c r="I275" s="50">
        <v>0</v>
      </c>
      <c r="J275" s="50">
        <v>0</v>
      </c>
      <c r="K275" s="50">
        <f t="shared" si="12"/>
        <v>0</v>
      </c>
      <c r="L275" s="52">
        <f t="shared" si="13"/>
        <v>0</v>
      </c>
    </row>
    <row r="276" spans="3:12" s="53" customFormat="1" ht="27" customHeight="1">
      <c r="C276" s="46" t="s">
        <v>1281</v>
      </c>
      <c r="D276" s="47" t="s">
        <v>1024</v>
      </c>
      <c r="E276" s="48" t="s">
        <v>351</v>
      </c>
      <c r="F276" s="48" t="s">
        <v>378</v>
      </c>
      <c r="G276" s="49">
        <v>2</v>
      </c>
      <c r="H276" s="50">
        <v>0</v>
      </c>
      <c r="I276" s="50">
        <v>0</v>
      </c>
      <c r="J276" s="50">
        <v>0</v>
      </c>
      <c r="K276" s="50">
        <f t="shared" si="12"/>
        <v>0</v>
      </c>
      <c r="L276" s="52">
        <f t="shared" si="13"/>
        <v>0</v>
      </c>
    </row>
    <row r="277" spans="3:12" s="53" customFormat="1" ht="27" customHeight="1">
      <c r="C277" s="46" t="s">
        <v>1282</v>
      </c>
      <c r="D277" s="47" t="s">
        <v>1066</v>
      </c>
      <c r="E277" s="48" t="s">
        <v>351</v>
      </c>
      <c r="F277" s="48" t="s">
        <v>378</v>
      </c>
      <c r="G277" s="49">
        <v>1</v>
      </c>
      <c r="H277" s="50">
        <v>0</v>
      </c>
      <c r="I277" s="50">
        <v>0</v>
      </c>
      <c r="J277" s="50">
        <v>0</v>
      </c>
      <c r="K277" s="50">
        <f t="shared" si="12"/>
        <v>0</v>
      </c>
      <c r="L277" s="52">
        <f t="shared" si="13"/>
        <v>0</v>
      </c>
    </row>
    <row r="278" spans="3:12" s="53" customFormat="1" ht="27" customHeight="1">
      <c r="C278" s="46" t="s">
        <v>1283</v>
      </c>
      <c r="D278" s="47" t="s">
        <v>1117</v>
      </c>
      <c r="E278" s="48" t="s">
        <v>351</v>
      </c>
      <c r="F278" s="48" t="s">
        <v>378</v>
      </c>
      <c r="G278" s="49">
        <v>1</v>
      </c>
      <c r="H278" s="50">
        <v>0</v>
      </c>
      <c r="I278" s="50">
        <v>0</v>
      </c>
      <c r="J278" s="50">
        <v>0</v>
      </c>
      <c r="K278" s="50">
        <f t="shared" si="12"/>
        <v>0</v>
      </c>
      <c r="L278" s="52">
        <f t="shared" si="13"/>
        <v>0</v>
      </c>
    </row>
    <row r="279" spans="3:12" s="53" customFormat="1" ht="27" customHeight="1">
      <c r="C279" s="46" t="s">
        <v>1284</v>
      </c>
      <c r="D279" s="47" t="s">
        <v>1069</v>
      </c>
      <c r="E279" s="136" t="s">
        <v>2124</v>
      </c>
      <c r="F279" s="48" t="s">
        <v>26</v>
      </c>
      <c r="G279" s="49">
        <v>4</v>
      </c>
      <c r="H279" s="50">
        <v>0</v>
      </c>
      <c r="I279" s="50">
        <v>0</v>
      </c>
      <c r="J279" s="50">
        <v>0</v>
      </c>
      <c r="K279" s="50">
        <f t="shared" si="12"/>
        <v>0</v>
      </c>
      <c r="L279" s="52">
        <f t="shared" si="13"/>
        <v>0</v>
      </c>
    </row>
    <row r="280" spans="3:12" s="53" customFormat="1" ht="27" customHeight="1">
      <c r="C280" s="46" t="s">
        <v>1285</v>
      </c>
      <c r="D280" s="47" t="s">
        <v>1037</v>
      </c>
      <c r="E280" s="136" t="s">
        <v>2124</v>
      </c>
      <c r="F280" s="48" t="s">
        <v>26</v>
      </c>
      <c r="G280" s="49">
        <v>4</v>
      </c>
      <c r="H280" s="50">
        <v>0</v>
      </c>
      <c r="I280" s="50">
        <v>0</v>
      </c>
      <c r="J280" s="50">
        <v>0</v>
      </c>
      <c r="K280" s="50">
        <f t="shared" si="12"/>
        <v>0</v>
      </c>
      <c r="L280" s="52">
        <f t="shared" si="13"/>
        <v>0</v>
      </c>
    </row>
    <row r="281" spans="3:12" s="53" customFormat="1" ht="27" customHeight="1">
      <c r="C281" s="46" t="s">
        <v>1286</v>
      </c>
      <c r="D281" s="47" t="s">
        <v>1039</v>
      </c>
      <c r="E281" s="136" t="s">
        <v>2124</v>
      </c>
      <c r="F281" s="48" t="s">
        <v>26</v>
      </c>
      <c r="G281" s="49">
        <v>7</v>
      </c>
      <c r="H281" s="50">
        <v>0</v>
      </c>
      <c r="I281" s="50">
        <v>0</v>
      </c>
      <c r="J281" s="50">
        <v>0</v>
      </c>
      <c r="K281" s="50">
        <f t="shared" si="12"/>
        <v>0</v>
      </c>
      <c r="L281" s="52">
        <f t="shared" si="13"/>
        <v>0</v>
      </c>
    </row>
    <row r="282" spans="3:12" s="53" customFormat="1" ht="27" customHeight="1">
      <c r="C282" s="46" t="s">
        <v>1287</v>
      </c>
      <c r="D282" s="47" t="s">
        <v>1040</v>
      </c>
      <c r="E282" s="136" t="s">
        <v>2124</v>
      </c>
      <c r="F282" s="48" t="s">
        <v>26</v>
      </c>
      <c r="G282" s="49">
        <v>2</v>
      </c>
      <c r="H282" s="50">
        <v>0</v>
      </c>
      <c r="I282" s="50">
        <v>0</v>
      </c>
      <c r="J282" s="50">
        <v>0</v>
      </c>
      <c r="K282" s="50">
        <f>+H282+I282+J282</f>
        <v>0</v>
      </c>
      <c r="L282" s="52">
        <f>+G282*K282</f>
        <v>0</v>
      </c>
    </row>
    <row r="283" spans="3:12" s="53" customFormat="1" ht="27" customHeight="1">
      <c r="C283" s="46" t="s">
        <v>1288</v>
      </c>
      <c r="D283" s="47" t="s">
        <v>2307</v>
      </c>
      <c r="E283" s="48" t="s">
        <v>2172</v>
      </c>
      <c r="F283" s="48" t="s">
        <v>26</v>
      </c>
      <c r="G283" s="49">
        <v>1</v>
      </c>
      <c r="H283" s="50">
        <v>0</v>
      </c>
      <c r="I283" s="50">
        <v>0</v>
      </c>
      <c r="J283" s="50">
        <v>0</v>
      </c>
      <c r="K283" s="50">
        <f>+H283+I283+J283</f>
        <v>0</v>
      </c>
      <c r="L283" s="52">
        <f>+G283*K283</f>
        <v>0</v>
      </c>
    </row>
    <row r="284" spans="3:12" s="53" customFormat="1" ht="27" customHeight="1">
      <c r="C284" s="46"/>
      <c r="D284" s="47"/>
      <c r="E284" s="48"/>
      <c r="F284" s="48"/>
      <c r="G284" s="49"/>
      <c r="H284" s="50"/>
      <c r="I284" s="50"/>
      <c r="J284" s="50"/>
      <c r="K284" s="50"/>
      <c r="L284" s="52"/>
    </row>
    <row r="285" spans="3:12" s="53" customFormat="1" ht="27" customHeight="1">
      <c r="C285" s="207" t="s">
        <v>1289</v>
      </c>
      <c r="D285" s="159" t="s">
        <v>2261</v>
      </c>
      <c r="E285" s="48"/>
      <c r="F285" s="48"/>
      <c r="G285" s="49"/>
      <c r="H285" s="50"/>
      <c r="I285" s="50"/>
      <c r="J285" s="50"/>
      <c r="K285" s="50"/>
      <c r="L285" s="52"/>
    </row>
    <row r="286" spans="3:12" s="53" customFormat="1" ht="27" customHeight="1">
      <c r="C286" s="46"/>
      <c r="D286" s="47"/>
      <c r="E286" s="48"/>
      <c r="F286" s="48"/>
      <c r="G286" s="49"/>
      <c r="H286" s="50"/>
      <c r="I286" s="50"/>
      <c r="J286" s="50"/>
      <c r="K286" s="50"/>
      <c r="L286" s="52"/>
    </row>
    <row r="287" spans="3:12" s="53" customFormat="1" ht="27" customHeight="1">
      <c r="C287" s="46" t="s">
        <v>1290</v>
      </c>
      <c r="D287" s="47" t="s">
        <v>1020</v>
      </c>
      <c r="E287" s="48" t="s">
        <v>2126</v>
      </c>
      <c r="F287" s="48" t="s">
        <v>378</v>
      </c>
      <c r="G287" s="49">
        <v>1</v>
      </c>
      <c r="H287" s="50">
        <v>0</v>
      </c>
      <c r="I287" s="50">
        <v>0</v>
      </c>
      <c r="J287" s="50">
        <v>0</v>
      </c>
      <c r="K287" s="50">
        <f t="shared" si="12"/>
        <v>0</v>
      </c>
      <c r="L287" s="52">
        <f t="shared" si="13"/>
        <v>0</v>
      </c>
    </row>
    <row r="288" spans="3:12" s="53" customFormat="1" ht="27" customHeight="1">
      <c r="C288" s="46" t="s">
        <v>1292</v>
      </c>
      <c r="D288" s="47" t="s">
        <v>1090</v>
      </c>
      <c r="E288" s="48" t="s">
        <v>2126</v>
      </c>
      <c r="F288" s="48" t="s">
        <v>378</v>
      </c>
      <c r="G288" s="49">
        <v>3</v>
      </c>
      <c r="H288" s="50">
        <v>0</v>
      </c>
      <c r="I288" s="50">
        <v>0</v>
      </c>
      <c r="J288" s="50">
        <v>0</v>
      </c>
      <c r="K288" s="50">
        <f t="shared" si="12"/>
        <v>0</v>
      </c>
      <c r="L288" s="52">
        <f t="shared" si="13"/>
        <v>0</v>
      </c>
    </row>
    <row r="289" spans="3:12" s="53" customFormat="1" ht="27" customHeight="1">
      <c r="C289" s="46" t="s">
        <v>1293</v>
      </c>
      <c r="D289" s="47" t="s">
        <v>1022</v>
      </c>
      <c r="E289" s="48" t="s">
        <v>2125</v>
      </c>
      <c r="F289" s="48" t="s">
        <v>378</v>
      </c>
      <c r="G289" s="49">
        <v>1</v>
      </c>
      <c r="H289" s="50">
        <v>0</v>
      </c>
      <c r="I289" s="50">
        <v>0</v>
      </c>
      <c r="J289" s="50">
        <v>0</v>
      </c>
      <c r="K289" s="50">
        <f t="shared" si="12"/>
        <v>0</v>
      </c>
      <c r="L289" s="52">
        <f t="shared" si="13"/>
        <v>0</v>
      </c>
    </row>
    <row r="290" spans="3:12" s="53" customFormat="1" ht="27" customHeight="1">
      <c r="C290" s="46" t="s">
        <v>1294</v>
      </c>
      <c r="D290" s="47" t="s">
        <v>1117</v>
      </c>
      <c r="E290" s="48" t="s">
        <v>351</v>
      </c>
      <c r="F290" s="48" t="s">
        <v>378</v>
      </c>
      <c r="G290" s="49">
        <v>1</v>
      </c>
      <c r="H290" s="50">
        <v>0</v>
      </c>
      <c r="I290" s="50">
        <v>0</v>
      </c>
      <c r="J290" s="50">
        <v>0</v>
      </c>
      <c r="K290" s="50">
        <f t="shared" si="12"/>
        <v>0</v>
      </c>
      <c r="L290" s="52">
        <f t="shared" si="13"/>
        <v>0</v>
      </c>
    </row>
    <row r="291" spans="3:12" s="53" customFormat="1" ht="27" customHeight="1">
      <c r="C291" s="46" t="s">
        <v>1295</v>
      </c>
      <c r="D291" s="47" t="s">
        <v>1018</v>
      </c>
      <c r="E291" s="48" t="s">
        <v>1865</v>
      </c>
      <c r="F291" s="48" t="s">
        <v>378</v>
      </c>
      <c r="G291" s="49">
        <v>3</v>
      </c>
      <c r="H291" s="50">
        <v>0</v>
      </c>
      <c r="I291" s="50">
        <v>0</v>
      </c>
      <c r="J291" s="50">
        <v>0</v>
      </c>
      <c r="K291" s="50">
        <f t="shared" si="12"/>
        <v>0</v>
      </c>
      <c r="L291" s="52">
        <f t="shared" si="13"/>
        <v>0</v>
      </c>
    </row>
    <row r="292" spans="3:12" s="53" customFormat="1" ht="27" customHeight="1">
      <c r="C292" s="46" t="s">
        <v>1296</v>
      </c>
      <c r="D292" s="47" t="s">
        <v>1019</v>
      </c>
      <c r="E292" s="48" t="s">
        <v>351</v>
      </c>
      <c r="F292" s="48" t="s">
        <v>378</v>
      </c>
      <c r="G292" s="49">
        <v>4</v>
      </c>
      <c r="H292" s="50">
        <v>0</v>
      </c>
      <c r="I292" s="50">
        <v>0</v>
      </c>
      <c r="J292" s="50">
        <v>0</v>
      </c>
      <c r="K292" s="50">
        <f t="shared" si="12"/>
        <v>0</v>
      </c>
      <c r="L292" s="52">
        <f t="shared" si="13"/>
        <v>0</v>
      </c>
    </row>
    <row r="293" spans="3:12" s="53" customFormat="1" ht="27" customHeight="1">
      <c r="C293" s="46" t="s">
        <v>1291</v>
      </c>
      <c r="D293" s="47" t="s">
        <v>1028</v>
      </c>
      <c r="E293" s="48" t="s">
        <v>351</v>
      </c>
      <c r="F293" s="48" t="s">
        <v>378</v>
      </c>
      <c r="G293" s="49">
        <v>1</v>
      </c>
      <c r="H293" s="50">
        <v>0</v>
      </c>
      <c r="I293" s="50">
        <v>0</v>
      </c>
      <c r="J293" s="50">
        <v>0</v>
      </c>
      <c r="K293" s="50">
        <f t="shared" si="12"/>
        <v>0</v>
      </c>
      <c r="L293" s="52">
        <f t="shared" si="13"/>
        <v>0</v>
      </c>
    </row>
    <row r="294" spans="3:12" s="53" customFormat="1" ht="27" customHeight="1">
      <c r="C294" s="46" t="s">
        <v>1297</v>
      </c>
      <c r="D294" s="47" t="s">
        <v>1033</v>
      </c>
      <c r="E294" s="48" t="s">
        <v>1042</v>
      </c>
      <c r="F294" s="48" t="s">
        <v>378</v>
      </c>
      <c r="G294" s="49">
        <v>1</v>
      </c>
      <c r="H294" s="50">
        <v>0</v>
      </c>
      <c r="I294" s="50">
        <v>0</v>
      </c>
      <c r="J294" s="50">
        <v>0</v>
      </c>
      <c r="K294" s="50">
        <f t="shared" si="12"/>
        <v>0</v>
      </c>
      <c r="L294" s="52">
        <f t="shared" si="13"/>
        <v>0</v>
      </c>
    </row>
    <row r="295" spans="3:12" s="53" customFormat="1" ht="27" customHeight="1">
      <c r="C295" s="46" t="s">
        <v>1298</v>
      </c>
      <c r="D295" s="47" t="s">
        <v>1151</v>
      </c>
      <c r="E295" s="136" t="s">
        <v>2118</v>
      </c>
      <c r="F295" s="48" t="s">
        <v>378</v>
      </c>
      <c r="G295" s="49">
        <v>1</v>
      </c>
      <c r="H295" s="50">
        <v>0</v>
      </c>
      <c r="I295" s="50">
        <v>0</v>
      </c>
      <c r="J295" s="50">
        <v>0</v>
      </c>
      <c r="K295" s="50">
        <f t="shared" si="12"/>
        <v>0</v>
      </c>
      <c r="L295" s="52">
        <f t="shared" si="13"/>
        <v>0</v>
      </c>
    </row>
    <row r="296" spans="3:12" s="53" customFormat="1" ht="27" customHeight="1">
      <c r="C296" s="46" t="s">
        <v>1299</v>
      </c>
      <c r="D296" s="47" t="s">
        <v>2231</v>
      </c>
      <c r="E296" s="48" t="s">
        <v>351</v>
      </c>
      <c r="F296" s="48" t="s">
        <v>378</v>
      </c>
      <c r="G296" s="49">
        <v>1</v>
      </c>
      <c r="H296" s="50">
        <v>0</v>
      </c>
      <c r="I296" s="50">
        <v>0</v>
      </c>
      <c r="J296" s="50">
        <v>0</v>
      </c>
      <c r="K296" s="50">
        <f t="shared" si="12"/>
        <v>0</v>
      </c>
      <c r="L296" s="52">
        <f t="shared" si="13"/>
        <v>0</v>
      </c>
    </row>
    <row r="297" spans="3:12" s="53" customFormat="1" ht="27" customHeight="1">
      <c r="C297" s="46" t="s">
        <v>1300</v>
      </c>
      <c r="D297" s="47" t="s">
        <v>2232</v>
      </c>
      <c r="E297" s="48" t="s">
        <v>351</v>
      </c>
      <c r="F297" s="48" t="s">
        <v>378</v>
      </c>
      <c r="G297" s="49">
        <v>4</v>
      </c>
      <c r="H297" s="50">
        <v>0</v>
      </c>
      <c r="I297" s="50">
        <v>0</v>
      </c>
      <c r="J297" s="50">
        <v>0</v>
      </c>
      <c r="K297" s="50">
        <f t="shared" si="12"/>
        <v>0</v>
      </c>
      <c r="L297" s="52">
        <f t="shared" si="13"/>
        <v>0</v>
      </c>
    </row>
    <row r="298" spans="3:12" s="53" customFormat="1" ht="27" customHeight="1">
      <c r="C298" s="46" t="s">
        <v>1301</v>
      </c>
      <c r="D298" s="47" t="s">
        <v>1034</v>
      </c>
      <c r="E298" s="48" t="s">
        <v>351</v>
      </c>
      <c r="F298" s="48" t="s">
        <v>378</v>
      </c>
      <c r="G298" s="49">
        <v>4</v>
      </c>
      <c r="H298" s="50">
        <v>0</v>
      </c>
      <c r="I298" s="50">
        <v>0</v>
      </c>
      <c r="J298" s="50">
        <v>0</v>
      </c>
      <c r="K298" s="50">
        <f t="shared" si="12"/>
        <v>0</v>
      </c>
      <c r="L298" s="52">
        <f t="shared" si="13"/>
        <v>0</v>
      </c>
    </row>
    <row r="299" spans="3:12" s="53" customFormat="1" ht="27" customHeight="1">
      <c r="C299" s="46" t="s">
        <v>1302</v>
      </c>
      <c r="D299" s="47" t="s">
        <v>1024</v>
      </c>
      <c r="E299" s="48" t="s">
        <v>351</v>
      </c>
      <c r="F299" s="48" t="s">
        <v>378</v>
      </c>
      <c r="G299" s="49">
        <v>2</v>
      </c>
      <c r="H299" s="50">
        <v>0</v>
      </c>
      <c r="I299" s="50">
        <v>0</v>
      </c>
      <c r="J299" s="50">
        <v>0</v>
      </c>
      <c r="K299" s="50">
        <f t="shared" si="12"/>
        <v>0</v>
      </c>
      <c r="L299" s="52">
        <f t="shared" si="13"/>
        <v>0</v>
      </c>
    </row>
    <row r="300" spans="3:12" s="53" customFormat="1" ht="27" customHeight="1">
      <c r="C300" s="46" t="s">
        <v>1303</v>
      </c>
      <c r="D300" s="47" t="s">
        <v>1066</v>
      </c>
      <c r="E300" s="48" t="s">
        <v>351</v>
      </c>
      <c r="F300" s="48" t="s">
        <v>378</v>
      </c>
      <c r="G300" s="49">
        <v>1</v>
      </c>
      <c r="H300" s="50">
        <v>0</v>
      </c>
      <c r="I300" s="50">
        <v>0</v>
      </c>
      <c r="J300" s="50">
        <v>0</v>
      </c>
      <c r="K300" s="50">
        <f t="shared" si="12"/>
        <v>0</v>
      </c>
      <c r="L300" s="52">
        <f t="shared" si="13"/>
        <v>0</v>
      </c>
    </row>
    <row r="301" spans="3:12" s="53" customFormat="1" ht="27" customHeight="1">
      <c r="C301" s="46" t="s">
        <v>1304</v>
      </c>
      <c r="D301" s="47" t="s">
        <v>1037</v>
      </c>
      <c r="E301" s="136" t="s">
        <v>2124</v>
      </c>
      <c r="F301" s="48" t="s">
        <v>26</v>
      </c>
      <c r="G301" s="49">
        <v>4</v>
      </c>
      <c r="H301" s="50">
        <v>0</v>
      </c>
      <c r="I301" s="50">
        <v>0</v>
      </c>
      <c r="J301" s="50">
        <v>0</v>
      </c>
      <c r="K301" s="50">
        <f t="shared" si="12"/>
        <v>0</v>
      </c>
      <c r="L301" s="52">
        <f t="shared" si="13"/>
        <v>0</v>
      </c>
    </row>
    <row r="302" spans="3:12" s="53" customFormat="1" ht="27" customHeight="1">
      <c r="C302" s="46" t="s">
        <v>1305</v>
      </c>
      <c r="D302" s="47" t="s">
        <v>1039</v>
      </c>
      <c r="E302" s="136" t="s">
        <v>2124</v>
      </c>
      <c r="F302" s="48" t="s">
        <v>26</v>
      </c>
      <c r="G302" s="49">
        <v>7</v>
      </c>
      <c r="H302" s="50">
        <v>0</v>
      </c>
      <c r="I302" s="50">
        <v>0</v>
      </c>
      <c r="J302" s="50">
        <v>0</v>
      </c>
      <c r="K302" s="50">
        <f t="shared" si="12"/>
        <v>0</v>
      </c>
      <c r="L302" s="52">
        <f t="shared" si="13"/>
        <v>0</v>
      </c>
    </row>
    <row r="303" spans="3:12" s="53" customFormat="1" ht="27" customHeight="1">
      <c r="C303" s="46" t="s">
        <v>1306</v>
      </c>
      <c r="D303" s="47" t="s">
        <v>1040</v>
      </c>
      <c r="E303" s="136" t="s">
        <v>2124</v>
      </c>
      <c r="F303" s="48" t="s">
        <v>26</v>
      </c>
      <c r="G303" s="49">
        <v>2</v>
      </c>
      <c r="H303" s="50">
        <v>0</v>
      </c>
      <c r="I303" s="50">
        <v>0</v>
      </c>
      <c r="J303" s="50">
        <v>0</v>
      </c>
      <c r="K303" s="50">
        <f t="shared" si="12"/>
        <v>0</v>
      </c>
      <c r="L303" s="52">
        <f t="shared" si="13"/>
        <v>0</v>
      </c>
    </row>
    <row r="304" spans="3:12" s="53" customFormat="1" ht="27" customHeight="1">
      <c r="C304" s="46" t="s">
        <v>1307</v>
      </c>
      <c r="D304" s="47" t="s">
        <v>2307</v>
      </c>
      <c r="E304" s="48" t="s">
        <v>2172</v>
      </c>
      <c r="F304" s="48" t="s">
        <v>26</v>
      </c>
      <c r="G304" s="49">
        <v>1</v>
      </c>
      <c r="H304" s="50">
        <v>0</v>
      </c>
      <c r="I304" s="50">
        <v>0</v>
      </c>
      <c r="J304" s="50">
        <v>0</v>
      </c>
      <c r="K304" s="50">
        <f t="shared" si="12"/>
        <v>0</v>
      </c>
      <c r="L304" s="52">
        <f t="shared" si="13"/>
        <v>0</v>
      </c>
    </row>
    <row r="305" spans="3:12" s="53" customFormat="1" ht="27" customHeight="1">
      <c r="C305" s="46"/>
      <c r="D305" s="47"/>
      <c r="E305" s="48"/>
      <c r="F305" s="48"/>
      <c r="G305" s="49"/>
      <c r="H305" s="50"/>
      <c r="I305" s="50"/>
      <c r="J305" s="50"/>
      <c r="K305" s="50"/>
      <c r="L305" s="52"/>
    </row>
    <row r="306" spans="3:12" s="53" customFormat="1" ht="27" customHeight="1">
      <c r="C306" s="207" t="s">
        <v>1308</v>
      </c>
      <c r="D306" s="159" t="s">
        <v>2262</v>
      </c>
      <c r="E306" s="48"/>
      <c r="F306" s="48"/>
      <c r="G306" s="49"/>
      <c r="H306" s="50"/>
      <c r="I306" s="50"/>
      <c r="J306" s="50"/>
      <c r="K306" s="50"/>
      <c r="L306" s="52"/>
    </row>
    <row r="307" spans="3:12" s="53" customFormat="1" ht="27" customHeight="1">
      <c r="C307" s="46"/>
      <c r="D307" s="47"/>
      <c r="E307" s="48"/>
      <c r="F307" s="48"/>
      <c r="G307" s="49"/>
      <c r="H307" s="50"/>
      <c r="I307" s="50"/>
      <c r="J307" s="50"/>
      <c r="K307" s="50"/>
      <c r="L307" s="52"/>
    </row>
    <row r="308" spans="3:12" s="53" customFormat="1" ht="27" customHeight="1">
      <c r="C308" s="46" t="s">
        <v>1309</v>
      </c>
      <c r="D308" s="47" t="s">
        <v>2230</v>
      </c>
      <c r="E308" s="48" t="s">
        <v>351</v>
      </c>
      <c r="F308" s="48" t="s">
        <v>378</v>
      </c>
      <c r="G308" s="49">
        <v>1</v>
      </c>
      <c r="H308" s="50">
        <v>0</v>
      </c>
      <c r="I308" s="50">
        <v>0</v>
      </c>
      <c r="J308" s="50">
        <v>0</v>
      </c>
      <c r="K308" s="50">
        <f t="shared" si="12"/>
        <v>0</v>
      </c>
      <c r="L308" s="52">
        <f t="shared" si="13"/>
        <v>0</v>
      </c>
    </row>
    <row r="309" spans="3:12" s="53" customFormat="1" ht="27" customHeight="1">
      <c r="C309" s="46" t="s">
        <v>1312</v>
      </c>
      <c r="D309" s="47" t="s">
        <v>1117</v>
      </c>
      <c r="E309" s="48" t="s">
        <v>351</v>
      </c>
      <c r="F309" s="48" t="s">
        <v>378</v>
      </c>
      <c r="G309" s="49">
        <v>1</v>
      </c>
      <c r="H309" s="50">
        <v>0</v>
      </c>
      <c r="I309" s="50">
        <v>0</v>
      </c>
      <c r="J309" s="50">
        <v>0</v>
      </c>
      <c r="K309" s="50">
        <f t="shared" si="12"/>
        <v>0</v>
      </c>
      <c r="L309" s="52">
        <f t="shared" si="13"/>
        <v>0</v>
      </c>
    </row>
    <row r="310" spans="3:12" s="53" customFormat="1" ht="27" customHeight="1">
      <c r="C310" s="46" t="s">
        <v>1311</v>
      </c>
      <c r="D310" s="47" t="s">
        <v>1018</v>
      </c>
      <c r="E310" s="48" t="s">
        <v>1865</v>
      </c>
      <c r="F310" s="48" t="s">
        <v>378</v>
      </c>
      <c r="G310" s="49">
        <v>3</v>
      </c>
      <c r="H310" s="50">
        <v>0</v>
      </c>
      <c r="I310" s="50">
        <v>0</v>
      </c>
      <c r="J310" s="50">
        <v>0</v>
      </c>
      <c r="K310" s="50">
        <f t="shared" si="12"/>
        <v>0</v>
      </c>
      <c r="L310" s="52">
        <f t="shared" si="13"/>
        <v>0</v>
      </c>
    </row>
    <row r="311" spans="3:12" s="53" customFormat="1" ht="27" customHeight="1">
      <c r="C311" s="46" t="s">
        <v>1313</v>
      </c>
      <c r="D311" s="47" t="s">
        <v>1019</v>
      </c>
      <c r="E311" s="48" t="s">
        <v>351</v>
      </c>
      <c r="F311" s="48" t="s">
        <v>378</v>
      </c>
      <c r="G311" s="49">
        <v>3</v>
      </c>
      <c r="H311" s="50">
        <v>0</v>
      </c>
      <c r="I311" s="50">
        <v>0</v>
      </c>
      <c r="J311" s="50">
        <v>0</v>
      </c>
      <c r="K311" s="50">
        <f t="shared" si="12"/>
        <v>0</v>
      </c>
      <c r="L311" s="52">
        <f t="shared" si="13"/>
        <v>0</v>
      </c>
    </row>
    <row r="312" spans="3:12" s="53" customFormat="1" ht="27" customHeight="1">
      <c r="C312" s="46" t="s">
        <v>1314</v>
      </c>
      <c r="D312" s="47" t="s">
        <v>1020</v>
      </c>
      <c r="E312" s="48" t="s">
        <v>2126</v>
      </c>
      <c r="F312" s="48" t="s">
        <v>378</v>
      </c>
      <c r="G312" s="49">
        <v>1</v>
      </c>
      <c r="H312" s="50">
        <v>0</v>
      </c>
      <c r="I312" s="50">
        <v>0</v>
      </c>
      <c r="J312" s="50">
        <v>0</v>
      </c>
      <c r="K312" s="50">
        <f t="shared" si="12"/>
        <v>0</v>
      </c>
      <c r="L312" s="52">
        <f t="shared" si="13"/>
        <v>0</v>
      </c>
    </row>
    <row r="313" spans="3:12" s="53" customFormat="1" ht="27" customHeight="1">
      <c r="C313" s="46" t="s">
        <v>1310</v>
      </c>
      <c r="D313" s="47" t="s">
        <v>1021</v>
      </c>
      <c r="E313" s="48" t="s">
        <v>2126</v>
      </c>
      <c r="F313" s="48" t="s">
        <v>378</v>
      </c>
      <c r="G313" s="49">
        <v>3</v>
      </c>
      <c r="H313" s="50">
        <v>0</v>
      </c>
      <c r="I313" s="50">
        <v>0</v>
      </c>
      <c r="J313" s="50">
        <v>0</v>
      </c>
      <c r="K313" s="50">
        <f t="shared" si="12"/>
        <v>0</v>
      </c>
      <c r="L313" s="52">
        <f t="shared" si="13"/>
        <v>0</v>
      </c>
    </row>
    <row r="314" spans="3:12" s="53" customFormat="1" ht="27" customHeight="1">
      <c r="C314" s="46" t="s">
        <v>1315</v>
      </c>
      <c r="D314" s="47" t="s">
        <v>1022</v>
      </c>
      <c r="E314" s="48" t="s">
        <v>2125</v>
      </c>
      <c r="F314" s="48" t="s">
        <v>378</v>
      </c>
      <c r="G314" s="49">
        <v>1</v>
      </c>
      <c r="H314" s="50">
        <v>0</v>
      </c>
      <c r="I314" s="50">
        <v>0</v>
      </c>
      <c r="J314" s="50">
        <v>0</v>
      </c>
      <c r="K314" s="50">
        <f t="shared" si="12"/>
        <v>0</v>
      </c>
      <c r="L314" s="52">
        <f t="shared" si="13"/>
        <v>0</v>
      </c>
    </row>
    <row r="315" spans="3:12" s="53" customFormat="1" ht="27" customHeight="1">
      <c r="C315" s="46" t="s">
        <v>1316</v>
      </c>
      <c r="D315" s="47" t="s">
        <v>2236</v>
      </c>
      <c r="E315" s="48" t="s">
        <v>351</v>
      </c>
      <c r="F315" s="48" t="s">
        <v>378</v>
      </c>
      <c r="G315" s="49">
        <v>1</v>
      </c>
      <c r="H315" s="50">
        <v>0</v>
      </c>
      <c r="I315" s="50">
        <v>0</v>
      </c>
      <c r="J315" s="50">
        <v>0</v>
      </c>
      <c r="K315" s="50">
        <f t="shared" si="12"/>
        <v>0</v>
      </c>
      <c r="L315" s="52">
        <f t="shared" si="13"/>
        <v>0</v>
      </c>
    </row>
    <row r="316" spans="3:12" s="53" customFormat="1" ht="27" customHeight="1">
      <c r="C316" s="46" t="s">
        <v>1317</v>
      </c>
      <c r="D316" s="47" t="s">
        <v>2237</v>
      </c>
      <c r="E316" s="48" t="s">
        <v>351</v>
      </c>
      <c r="F316" s="48" t="s">
        <v>378</v>
      </c>
      <c r="G316" s="49">
        <v>2</v>
      </c>
      <c r="H316" s="50">
        <v>0</v>
      </c>
      <c r="I316" s="50">
        <v>0</v>
      </c>
      <c r="J316" s="50">
        <v>0</v>
      </c>
      <c r="K316" s="50">
        <f t="shared" si="12"/>
        <v>0</v>
      </c>
      <c r="L316" s="52">
        <f t="shared" si="13"/>
        <v>0</v>
      </c>
    </row>
    <row r="317" spans="3:12" s="53" customFormat="1" ht="27" customHeight="1">
      <c r="C317" s="46" t="s">
        <v>1318</v>
      </c>
      <c r="D317" s="47" t="s">
        <v>1025</v>
      </c>
      <c r="E317" s="48" t="s">
        <v>351</v>
      </c>
      <c r="F317" s="48" t="s">
        <v>378</v>
      </c>
      <c r="G317" s="49">
        <v>1</v>
      </c>
      <c r="H317" s="50">
        <v>0</v>
      </c>
      <c r="I317" s="50">
        <v>0</v>
      </c>
      <c r="J317" s="50">
        <v>0</v>
      </c>
      <c r="K317" s="50">
        <f t="shared" si="12"/>
        <v>0</v>
      </c>
      <c r="L317" s="52">
        <f t="shared" si="13"/>
        <v>0</v>
      </c>
    </row>
    <row r="318" spans="3:12" s="53" customFormat="1" ht="27" customHeight="1">
      <c r="C318" s="46" t="s">
        <v>1319</v>
      </c>
      <c r="D318" s="47" t="s">
        <v>1024</v>
      </c>
      <c r="E318" s="48" t="s">
        <v>351</v>
      </c>
      <c r="F318" s="48" t="s">
        <v>378</v>
      </c>
      <c r="G318" s="49">
        <v>18</v>
      </c>
      <c r="H318" s="50">
        <v>0</v>
      </c>
      <c r="I318" s="50">
        <v>0</v>
      </c>
      <c r="J318" s="50">
        <v>0</v>
      </c>
      <c r="K318" s="50">
        <f t="shared" si="12"/>
        <v>0</v>
      </c>
      <c r="L318" s="52">
        <f t="shared" si="13"/>
        <v>0</v>
      </c>
    </row>
    <row r="319" spans="3:12" s="53" customFormat="1" ht="27" customHeight="1">
      <c r="C319" s="46" t="s">
        <v>1320</v>
      </c>
      <c r="D319" s="47" t="s">
        <v>1034</v>
      </c>
      <c r="E319" s="48" t="s">
        <v>351</v>
      </c>
      <c r="F319" s="48" t="s">
        <v>378</v>
      </c>
      <c r="G319" s="49">
        <v>1</v>
      </c>
      <c r="H319" s="50">
        <v>0</v>
      </c>
      <c r="I319" s="50">
        <v>0</v>
      </c>
      <c r="J319" s="50">
        <v>0</v>
      </c>
      <c r="K319" s="50">
        <f t="shared" si="12"/>
        <v>0</v>
      </c>
      <c r="L319" s="52">
        <f t="shared" si="13"/>
        <v>0</v>
      </c>
    </row>
    <row r="320" spans="3:12" s="53" customFormat="1" ht="27" customHeight="1">
      <c r="C320" s="46" t="s">
        <v>1321</v>
      </c>
      <c r="D320" s="47" t="s">
        <v>2238</v>
      </c>
      <c r="E320" s="48" t="s">
        <v>351</v>
      </c>
      <c r="F320" s="48" t="s">
        <v>378</v>
      </c>
      <c r="G320" s="49">
        <v>1</v>
      </c>
      <c r="H320" s="50">
        <v>0</v>
      </c>
      <c r="I320" s="50">
        <v>0</v>
      </c>
      <c r="J320" s="50">
        <v>0</v>
      </c>
      <c r="K320" s="50">
        <f t="shared" si="12"/>
        <v>0</v>
      </c>
      <c r="L320" s="52">
        <f t="shared" si="13"/>
        <v>0</v>
      </c>
    </row>
    <row r="321" spans="3:12" s="53" customFormat="1" ht="27" customHeight="1">
      <c r="C321" s="46" t="s">
        <v>1322</v>
      </c>
      <c r="D321" s="47" t="s">
        <v>1018</v>
      </c>
      <c r="E321" s="48" t="s">
        <v>1865</v>
      </c>
      <c r="F321" s="48" t="s">
        <v>378</v>
      </c>
      <c r="G321" s="49">
        <v>1</v>
      </c>
      <c r="H321" s="50">
        <v>0</v>
      </c>
      <c r="I321" s="50">
        <v>0</v>
      </c>
      <c r="J321" s="50">
        <v>0</v>
      </c>
      <c r="K321" s="50">
        <f t="shared" si="12"/>
        <v>0</v>
      </c>
      <c r="L321" s="52">
        <f t="shared" si="13"/>
        <v>0</v>
      </c>
    </row>
    <row r="322" spans="3:12" s="53" customFormat="1" ht="27" customHeight="1">
      <c r="C322" s="46" t="s">
        <v>1323</v>
      </c>
      <c r="D322" s="47" t="s">
        <v>1019</v>
      </c>
      <c r="E322" s="48" t="s">
        <v>351</v>
      </c>
      <c r="F322" s="48" t="s">
        <v>378</v>
      </c>
      <c r="G322" s="49">
        <v>1</v>
      </c>
      <c r="H322" s="50">
        <v>0</v>
      </c>
      <c r="I322" s="50">
        <v>0</v>
      </c>
      <c r="J322" s="50">
        <v>0</v>
      </c>
      <c r="K322" s="50">
        <f t="shared" si="12"/>
        <v>0</v>
      </c>
      <c r="L322" s="52">
        <f t="shared" si="13"/>
        <v>0</v>
      </c>
    </row>
    <row r="323" spans="3:12" s="53" customFormat="1" ht="27" customHeight="1">
      <c r="C323" s="46" t="s">
        <v>1324</v>
      </c>
      <c r="D323" s="47" t="s">
        <v>1024</v>
      </c>
      <c r="E323" s="48" t="s">
        <v>351</v>
      </c>
      <c r="F323" s="48" t="s">
        <v>378</v>
      </c>
      <c r="G323" s="49">
        <v>4</v>
      </c>
      <c r="H323" s="50">
        <v>0</v>
      </c>
      <c r="I323" s="50">
        <v>0</v>
      </c>
      <c r="J323" s="50">
        <v>0</v>
      </c>
      <c r="K323" s="50">
        <f t="shared" si="12"/>
        <v>0</v>
      </c>
      <c r="L323" s="52">
        <f t="shared" si="13"/>
        <v>0</v>
      </c>
    </row>
    <row r="324" spans="3:12" s="53" customFormat="1" ht="27" customHeight="1">
      <c r="C324" s="46" t="s">
        <v>1325</v>
      </c>
      <c r="D324" s="47" t="s">
        <v>1037</v>
      </c>
      <c r="E324" s="136" t="s">
        <v>2124</v>
      </c>
      <c r="F324" s="48" t="s">
        <v>26</v>
      </c>
      <c r="G324" s="49">
        <v>4</v>
      </c>
      <c r="H324" s="50">
        <v>0</v>
      </c>
      <c r="I324" s="50">
        <v>0</v>
      </c>
      <c r="J324" s="50">
        <v>0</v>
      </c>
      <c r="K324" s="50">
        <f t="shared" si="12"/>
        <v>0</v>
      </c>
      <c r="L324" s="52">
        <f t="shared" si="13"/>
        <v>0</v>
      </c>
    </row>
    <row r="325" spans="3:12" s="53" customFormat="1" ht="27" customHeight="1">
      <c r="C325" s="46" t="s">
        <v>1326</v>
      </c>
      <c r="D325" s="47" t="s">
        <v>1038</v>
      </c>
      <c r="E325" s="136" t="s">
        <v>2124</v>
      </c>
      <c r="F325" s="48" t="s">
        <v>26</v>
      </c>
      <c r="G325" s="49">
        <v>4</v>
      </c>
      <c r="H325" s="50">
        <v>0</v>
      </c>
      <c r="I325" s="50">
        <v>0</v>
      </c>
      <c r="J325" s="50">
        <v>0</v>
      </c>
      <c r="K325" s="50">
        <f t="shared" si="12"/>
        <v>0</v>
      </c>
      <c r="L325" s="52">
        <f t="shared" si="13"/>
        <v>0</v>
      </c>
    </row>
    <row r="326" spans="3:12" s="53" customFormat="1" ht="27" customHeight="1">
      <c r="C326" s="46" t="s">
        <v>1327</v>
      </c>
      <c r="D326" s="47" t="s">
        <v>1039</v>
      </c>
      <c r="E326" s="136" t="s">
        <v>2124</v>
      </c>
      <c r="F326" s="48" t="s">
        <v>26</v>
      </c>
      <c r="G326" s="49">
        <v>25</v>
      </c>
      <c r="H326" s="50">
        <v>0</v>
      </c>
      <c r="I326" s="50">
        <v>0</v>
      </c>
      <c r="J326" s="50">
        <v>0</v>
      </c>
      <c r="K326" s="50">
        <f t="shared" si="12"/>
        <v>0</v>
      </c>
      <c r="L326" s="52">
        <f t="shared" si="13"/>
        <v>0</v>
      </c>
    </row>
    <row r="327" spans="3:12" s="53" customFormat="1" ht="27" customHeight="1">
      <c r="C327" s="46" t="s">
        <v>1328</v>
      </c>
      <c r="D327" s="47" t="s">
        <v>1040</v>
      </c>
      <c r="E327" s="136" t="s">
        <v>2124</v>
      </c>
      <c r="F327" s="48" t="s">
        <v>26</v>
      </c>
      <c r="G327" s="49">
        <v>2</v>
      </c>
      <c r="H327" s="50">
        <v>0</v>
      </c>
      <c r="I327" s="50">
        <v>0</v>
      </c>
      <c r="J327" s="50">
        <v>0</v>
      </c>
      <c r="K327" s="50">
        <f t="shared" si="12"/>
        <v>0</v>
      </c>
      <c r="L327" s="52">
        <f t="shared" si="13"/>
        <v>0</v>
      </c>
    </row>
    <row r="328" spans="3:12" s="53" customFormat="1" ht="27" customHeight="1">
      <c r="C328" s="46" t="s">
        <v>1329</v>
      </c>
      <c r="D328" s="47" t="s">
        <v>2134</v>
      </c>
      <c r="E328" s="48" t="s">
        <v>2172</v>
      </c>
      <c r="F328" s="48" t="s">
        <v>26</v>
      </c>
      <c r="G328" s="49">
        <v>1</v>
      </c>
      <c r="H328" s="50">
        <v>0</v>
      </c>
      <c r="I328" s="50">
        <v>0</v>
      </c>
      <c r="J328" s="50">
        <v>0</v>
      </c>
      <c r="K328" s="50">
        <f t="shared" ref="K328:K387" si="14">+H328+I328+J328</f>
        <v>0</v>
      </c>
      <c r="L328" s="52">
        <f t="shared" ref="L328:L387" si="15">+G328*K328</f>
        <v>0</v>
      </c>
    </row>
    <row r="329" spans="3:12" s="53" customFormat="1" ht="27" customHeight="1">
      <c r="C329" s="46"/>
      <c r="D329" s="47"/>
      <c r="E329" s="48"/>
      <c r="F329" s="48"/>
      <c r="G329" s="49"/>
      <c r="H329" s="50"/>
      <c r="I329" s="50"/>
      <c r="J329" s="50"/>
      <c r="K329" s="50"/>
      <c r="L329" s="52"/>
    </row>
    <row r="330" spans="3:12" s="53" customFormat="1" ht="27" customHeight="1">
      <c r="C330" s="207" t="s">
        <v>1330</v>
      </c>
      <c r="D330" s="159" t="s">
        <v>2263</v>
      </c>
      <c r="E330" s="48"/>
      <c r="F330" s="48"/>
      <c r="G330" s="49"/>
      <c r="H330" s="50"/>
      <c r="I330" s="50"/>
      <c r="J330" s="50"/>
      <c r="K330" s="50"/>
      <c r="L330" s="52"/>
    </row>
    <row r="331" spans="3:12" s="53" customFormat="1" ht="27" customHeight="1">
      <c r="C331" s="46"/>
      <c r="D331" s="47"/>
      <c r="E331" s="48"/>
      <c r="F331" s="48"/>
      <c r="G331" s="49"/>
      <c r="H331" s="50"/>
      <c r="I331" s="50"/>
      <c r="J331" s="50"/>
      <c r="K331" s="50"/>
      <c r="L331" s="52"/>
    </row>
    <row r="332" spans="3:12" s="53" customFormat="1" ht="27" customHeight="1">
      <c r="C332" s="46" t="s">
        <v>1331</v>
      </c>
      <c r="D332" s="47" t="s">
        <v>2230</v>
      </c>
      <c r="E332" s="48" t="s">
        <v>351</v>
      </c>
      <c r="F332" s="48" t="s">
        <v>378</v>
      </c>
      <c r="G332" s="49">
        <v>1</v>
      </c>
      <c r="H332" s="50">
        <v>0</v>
      </c>
      <c r="I332" s="50">
        <v>0</v>
      </c>
      <c r="J332" s="50">
        <v>0</v>
      </c>
      <c r="K332" s="50">
        <f t="shared" si="14"/>
        <v>0</v>
      </c>
      <c r="L332" s="52">
        <f t="shared" si="15"/>
        <v>0</v>
      </c>
    </row>
    <row r="333" spans="3:12" s="53" customFormat="1" ht="27" customHeight="1">
      <c r="C333" s="46" t="s">
        <v>1334</v>
      </c>
      <c r="D333" s="47" t="s">
        <v>1117</v>
      </c>
      <c r="E333" s="48" t="s">
        <v>351</v>
      </c>
      <c r="F333" s="48" t="s">
        <v>378</v>
      </c>
      <c r="G333" s="49">
        <v>1</v>
      </c>
      <c r="H333" s="50">
        <v>0</v>
      </c>
      <c r="I333" s="50">
        <v>0</v>
      </c>
      <c r="J333" s="50">
        <v>0</v>
      </c>
      <c r="K333" s="50">
        <f t="shared" si="14"/>
        <v>0</v>
      </c>
      <c r="L333" s="52">
        <f t="shared" si="15"/>
        <v>0</v>
      </c>
    </row>
    <row r="334" spans="3:12" s="53" customFormat="1" ht="27" customHeight="1">
      <c r="C334" s="46" t="s">
        <v>1333</v>
      </c>
      <c r="D334" s="47" t="s">
        <v>1018</v>
      </c>
      <c r="E334" s="48" t="s">
        <v>1865</v>
      </c>
      <c r="F334" s="48" t="s">
        <v>378</v>
      </c>
      <c r="G334" s="49">
        <v>3</v>
      </c>
      <c r="H334" s="50">
        <v>0</v>
      </c>
      <c r="I334" s="50">
        <v>0</v>
      </c>
      <c r="J334" s="50">
        <v>0</v>
      </c>
      <c r="K334" s="50">
        <f t="shared" si="14"/>
        <v>0</v>
      </c>
      <c r="L334" s="52">
        <f t="shared" si="15"/>
        <v>0</v>
      </c>
    </row>
    <row r="335" spans="3:12" s="53" customFormat="1" ht="27" customHeight="1">
      <c r="C335" s="46" t="s">
        <v>1335</v>
      </c>
      <c r="D335" s="47" t="s">
        <v>1019</v>
      </c>
      <c r="E335" s="48" t="s">
        <v>351</v>
      </c>
      <c r="F335" s="48" t="s">
        <v>378</v>
      </c>
      <c r="G335" s="49">
        <v>3</v>
      </c>
      <c r="H335" s="50">
        <v>0</v>
      </c>
      <c r="I335" s="50">
        <v>0</v>
      </c>
      <c r="J335" s="50">
        <v>0</v>
      </c>
      <c r="K335" s="50">
        <f t="shared" si="14"/>
        <v>0</v>
      </c>
      <c r="L335" s="52">
        <f t="shared" si="15"/>
        <v>0</v>
      </c>
    </row>
    <row r="336" spans="3:12" s="53" customFormat="1" ht="27" customHeight="1">
      <c r="C336" s="46" t="s">
        <v>1336</v>
      </c>
      <c r="D336" s="47" t="s">
        <v>1020</v>
      </c>
      <c r="E336" s="48" t="s">
        <v>2126</v>
      </c>
      <c r="F336" s="48" t="s">
        <v>378</v>
      </c>
      <c r="G336" s="49">
        <v>1</v>
      </c>
      <c r="H336" s="50">
        <v>0</v>
      </c>
      <c r="I336" s="50">
        <v>0</v>
      </c>
      <c r="J336" s="50">
        <v>0</v>
      </c>
      <c r="K336" s="50">
        <f t="shared" si="14"/>
        <v>0</v>
      </c>
      <c r="L336" s="52">
        <f t="shared" si="15"/>
        <v>0</v>
      </c>
    </row>
    <row r="337" spans="3:12" s="53" customFormat="1" ht="27" customHeight="1">
      <c r="C337" s="46" t="s">
        <v>1332</v>
      </c>
      <c r="D337" s="47" t="s">
        <v>1021</v>
      </c>
      <c r="E337" s="48" t="s">
        <v>2126</v>
      </c>
      <c r="F337" s="48" t="s">
        <v>378</v>
      </c>
      <c r="G337" s="49">
        <v>3</v>
      </c>
      <c r="H337" s="50">
        <v>0</v>
      </c>
      <c r="I337" s="50">
        <v>0</v>
      </c>
      <c r="J337" s="50">
        <v>0</v>
      </c>
      <c r="K337" s="50">
        <f t="shared" si="14"/>
        <v>0</v>
      </c>
      <c r="L337" s="52">
        <f t="shared" si="15"/>
        <v>0</v>
      </c>
    </row>
    <row r="338" spans="3:12" s="53" customFormat="1" ht="27" customHeight="1">
      <c r="C338" s="46" t="s">
        <v>1337</v>
      </c>
      <c r="D338" s="47" t="s">
        <v>1022</v>
      </c>
      <c r="E338" s="48" t="s">
        <v>2125</v>
      </c>
      <c r="F338" s="48" t="s">
        <v>378</v>
      </c>
      <c r="G338" s="49">
        <v>1</v>
      </c>
      <c r="H338" s="50">
        <v>0</v>
      </c>
      <c r="I338" s="50">
        <v>0</v>
      </c>
      <c r="J338" s="50">
        <v>0</v>
      </c>
      <c r="K338" s="50">
        <f t="shared" si="14"/>
        <v>0</v>
      </c>
      <c r="L338" s="52">
        <f t="shared" si="15"/>
        <v>0</v>
      </c>
    </row>
    <row r="339" spans="3:12" s="53" customFormat="1" ht="27" customHeight="1">
      <c r="C339" s="46" t="s">
        <v>1338</v>
      </c>
      <c r="D339" s="47" t="s">
        <v>2236</v>
      </c>
      <c r="E339" s="48" t="s">
        <v>351</v>
      </c>
      <c r="F339" s="48" t="s">
        <v>378</v>
      </c>
      <c r="G339" s="49">
        <v>1</v>
      </c>
      <c r="H339" s="50">
        <v>0</v>
      </c>
      <c r="I339" s="50">
        <v>0</v>
      </c>
      <c r="J339" s="50">
        <v>0</v>
      </c>
      <c r="K339" s="50">
        <f t="shared" si="14"/>
        <v>0</v>
      </c>
      <c r="L339" s="52">
        <f t="shared" si="15"/>
        <v>0</v>
      </c>
    </row>
    <row r="340" spans="3:12" s="53" customFormat="1" ht="27" customHeight="1">
      <c r="C340" s="46" t="s">
        <v>1339</v>
      </c>
      <c r="D340" s="47" t="s">
        <v>2237</v>
      </c>
      <c r="E340" s="48" t="s">
        <v>351</v>
      </c>
      <c r="F340" s="48" t="s">
        <v>378</v>
      </c>
      <c r="G340" s="49">
        <v>2</v>
      </c>
      <c r="H340" s="50">
        <v>0</v>
      </c>
      <c r="I340" s="50">
        <v>0</v>
      </c>
      <c r="J340" s="50">
        <v>0</v>
      </c>
      <c r="K340" s="50">
        <f t="shared" si="14"/>
        <v>0</v>
      </c>
      <c r="L340" s="52">
        <f t="shared" si="15"/>
        <v>0</v>
      </c>
    </row>
    <row r="341" spans="3:12" s="53" customFormat="1" ht="27" customHeight="1">
      <c r="C341" s="46" t="s">
        <v>1340</v>
      </c>
      <c r="D341" s="47" t="s">
        <v>1025</v>
      </c>
      <c r="E341" s="48" t="s">
        <v>351</v>
      </c>
      <c r="F341" s="48" t="s">
        <v>378</v>
      </c>
      <c r="G341" s="49">
        <v>1</v>
      </c>
      <c r="H341" s="50">
        <v>0</v>
      </c>
      <c r="I341" s="50">
        <v>0</v>
      </c>
      <c r="J341" s="50">
        <v>0</v>
      </c>
      <c r="K341" s="50">
        <f t="shared" si="14"/>
        <v>0</v>
      </c>
      <c r="L341" s="52">
        <f t="shared" si="15"/>
        <v>0</v>
      </c>
    </row>
    <row r="342" spans="3:12" s="53" customFormat="1" ht="27" customHeight="1">
      <c r="C342" s="46" t="s">
        <v>1341</v>
      </c>
      <c r="D342" s="47" t="s">
        <v>1024</v>
      </c>
      <c r="E342" s="48" t="s">
        <v>351</v>
      </c>
      <c r="F342" s="48" t="s">
        <v>378</v>
      </c>
      <c r="G342" s="49">
        <v>17</v>
      </c>
      <c r="H342" s="50">
        <v>0</v>
      </c>
      <c r="I342" s="50">
        <v>0</v>
      </c>
      <c r="J342" s="50">
        <v>0</v>
      </c>
      <c r="K342" s="50">
        <f t="shared" si="14"/>
        <v>0</v>
      </c>
      <c r="L342" s="52">
        <f t="shared" si="15"/>
        <v>0</v>
      </c>
    </row>
    <row r="343" spans="3:12" s="53" customFormat="1" ht="27" customHeight="1">
      <c r="C343" s="46" t="s">
        <v>1342</v>
      </c>
      <c r="D343" s="47" t="s">
        <v>1066</v>
      </c>
      <c r="E343" s="48" t="s">
        <v>351</v>
      </c>
      <c r="F343" s="48" t="s">
        <v>378</v>
      </c>
      <c r="G343" s="49">
        <v>1</v>
      </c>
      <c r="H343" s="50">
        <v>0</v>
      </c>
      <c r="I343" s="50">
        <v>0</v>
      </c>
      <c r="J343" s="50">
        <v>0</v>
      </c>
      <c r="K343" s="50">
        <f t="shared" si="14"/>
        <v>0</v>
      </c>
      <c r="L343" s="52">
        <f t="shared" si="15"/>
        <v>0</v>
      </c>
    </row>
    <row r="344" spans="3:12" s="53" customFormat="1" ht="27" customHeight="1">
      <c r="C344" s="46" t="s">
        <v>1343</v>
      </c>
      <c r="D344" s="47" t="s">
        <v>1034</v>
      </c>
      <c r="E344" s="48" t="s">
        <v>351</v>
      </c>
      <c r="F344" s="48" t="s">
        <v>378</v>
      </c>
      <c r="G344" s="49">
        <v>1</v>
      </c>
      <c r="H344" s="50">
        <v>0</v>
      </c>
      <c r="I344" s="50">
        <v>0</v>
      </c>
      <c r="J344" s="50">
        <v>0</v>
      </c>
      <c r="K344" s="50">
        <f t="shared" si="14"/>
        <v>0</v>
      </c>
      <c r="L344" s="52">
        <f t="shared" si="15"/>
        <v>0</v>
      </c>
    </row>
    <row r="345" spans="3:12" s="53" customFormat="1" ht="27" customHeight="1">
      <c r="C345" s="46" t="s">
        <v>1344</v>
      </c>
      <c r="D345" s="47" t="s">
        <v>2238</v>
      </c>
      <c r="E345" s="48" t="s">
        <v>351</v>
      </c>
      <c r="F345" s="48" t="s">
        <v>378</v>
      </c>
      <c r="G345" s="49">
        <v>1</v>
      </c>
      <c r="H345" s="50">
        <v>0</v>
      </c>
      <c r="I345" s="50">
        <v>0</v>
      </c>
      <c r="J345" s="50">
        <v>0</v>
      </c>
      <c r="K345" s="50">
        <f t="shared" si="14"/>
        <v>0</v>
      </c>
      <c r="L345" s="52">
        <f t="shared" si="15"/>
        <v>0</v>
      </c>
    </row>
    <row r="346" spans="3:12" s="53" customFormat="1" ht="27" customHeight="1">
      <c r="C346" s="46" t="s">
        <v>1345</v>
      </c>
      <c r="D346" s="47" t="s">
        <v>1018</v>
      </c>
      <c r="E346" s="48" t="s">
        <v>1865</v>
      </c>
      <c r="F346" s="48" t="s">
        <v>378</v>
      </c>
      <c r="G346" s="49">
        <v>1</v>
      </c>
      <c r="H346" s="50">
        <v>0</v>
      </c>
      <c r="I346" s="50">
        <v>0</v>
      </c>
      <c r="J346" s="50">
        <v>0</v>
      </c>
      <c r="K346" s="50">
        <f t="shared" si="14"/>
        <v>0</v>
      </c>
      <c r="L346" s="52">
        <f t="shared" si="15"/>
        <v>0</v>
      </c>
    </row>
    <row r="347" spans="3:12" s="53" customFormat="1" ht="27" customHeight="1">
      <c r="C347" s="46" t="s">
        <v>1346</v>
      </c>
      <c r="D347" s="47" t="s">
        <v>1019</v>
      </c>
      <c r="E347" s="48" t="s">
        <v>351</v>
      </c>
      <c r="F347" s="48" t="s">
        <v>378</v>
      </c>
      <c r="G347" s="49">
        <v>1</v>
      </c>
      <c r="H347" s="50">
        <v>0</v>
      </c>
      <c r="I347" s="50">
        <v>0</v>
      </c>
      <c r="J347" s="50">
        <v>0</v>
      </c>
      <c r="K347" s="50">
        <f t="shared" si="14"/>
        <v>0</v>
      </c>
      <c r="L347" s="52">
        <f t="shared" si="15"/>
        <v>0</v>
      </c>
    </row>
    <row r="348" spans="3:12" s="53" customFormat="1" ht="27" customHeight="1">
      <c r="C348" s="46" t="s">
        <v>1347</v>
      </c>
      <c r="D348" s="47" t="s">
        <v>1024</v>
      </c>
      <c r="E348" s="48" t="s">
        <v>351</v>
      </c>
      <c r="F348" s="48" t="s">
        <v>378</v>
      </c>
      <c r="G348" s="49">
        <v>4</v>
      </c>
      <c r="H348" s="50">
        <v>0</v>
      </c>
      <c r="I348" s="50">
        <v>0</v>
      </c>
      <c r="J348" s="50">
        <v>0</v>
      </c>
      <c r="K348" s="50">
        <f t="shared" si="14"/>
        <v>0</v>
      </c>
      <c r="L348" s="52">
        <f t="shared" si="15"/>
        <v>0</v>
      </c>
    </row>
    <row r="349" spans="3:12" s="53" customFormat="1" ht="27" customHeight="1">
      <c r="C349" s="46" t="s">
        <v>1348</v>
      </c>
      <c r="D349" s="47" t="s">
        <v>1037</v>
      </c>
      <c r="E349" s="136" t="s">
        <v>2124</v>
      </c>
      <c r="F349" s="48" t="s">
        <v>26</v>
      </c>
      <c r="G349" s="49">
        <v>4</v>
      </c>
      <c r="H349" s="50">
        <v>0</v>
      </c>
      <c r="I349" s="50">
        <v>0</v>
      </c>
      <c r="J349" s="50">
        <v>0</v>
      </c>
      <c r="K349" s="50">
        <f t="shared" si="14"/>
        <v>0</v>
      </c>
      <c r="L349" s="52">
        <f t="shared" si="15"/>
        <v>0</v>
      </c>
    </row>
    <row r="350" spans="3:12" s="53" customFormat="1" ht="27" customHeight="1">
      <c r="C350" s="46" t="s">
        <v>1349</v>
      </c>
      <c r="D350" s="47" t="s">
        <v>1038</v>
      </c>
      <c r="E350" s="136" t="s">
        <v>2124</v>
      </c>
      <c r="F350" s="48" t="s">
        <v>26</v>
      </c>
      <c r="G350" s="49">
        <v>4</v>
      </c>
      <c r="H350" s="50">
        <v>0</v>
      </c>
      <c r="I350" s="50">
        <v>0</v>
      </c>
      <c r="J350" s="50">
        <v>0</v>
      </c>
      <c r="K350" s="50">
        <f t="shared" si="14"/>
        <v>0</v>
      </c>
      <c r="L350" s="52">
        <f t="shared" si="15"/>
        <v>0</v>
      </c>
    </row>
    <row r="351" spans="3:12" s="53" customFormat="1" ht="27" customHeight="1">
      <c r="C351" s="46" t="s">
        <v>1350</v>
      </c>
      <c r="D351" s="47" t="s">
        <v>1039</v>
      </c>
      <c r="E351" s="136" t="s">
        <v>2124</v>
      </c>
      <c r="F351" s="48" t="s">
        <v>26</v>
      </c>
      <c r="G351" s="49">
        <v>24</v>
      </c>
      <c r="H351" s="50">
        <v>0</v>
      </c>
      <c r="I351" s="50">
        <v>0</v>
      </c>
      <c r="J351" s="50">
        <v>0</v>
      </c>
      <c r="K351" s="50">
        <f t="shared" si="14"/>
        <v>0</v>
      </c>
      <c r="L351" s="52">
        <f t="shared" si="15"/>
        <v>0</v>
      </c>
    </row>
    <row r="352" spans="3:12" s="53" customFormat="1" ht="27" customHeight="1">
      <c r="C352" s="46" t="s">
        <v>1351</v>
      </c>
      <c r="D352" s="47" t="s">
        <v>1040</v>
      </c>
      <c r="E352" s="136" t="s">
        <v>2124</v>
      </c>
      <c r="F352" s="48" t="s">
        <v>26</v>
      </c>
      <c r="G352" s="49">
        <v>2</v>
      </c>
      <c r="H352" s="50">
        <v>0</v>
      </c>
      <c r="I352" s="50">
        <v>0</v>
      </c>
      <c r="J352" s="50">
        <v>0</v>
      </c>
      <c r="K352" s="50">
        <f t="shared" si="14"/>
        <v>0</v>
      </c>
      <c r="L352" s="52">
        <f t="shared" si="15"/>
        <v>0</v>
      </c>
    </row>
    <row r="353" spans="3:12" s="53" customFormat="1" ht="27" customHeight="1">
      <c r="C353" s="46" t="s">
        <v>1352</v>
      </c>
      <c r="D353" s="47" t="s">
        <v>2134</v>
      </c>
      <c r="E353" s="48" t="s">
        <v>2172</v>
      </c>
      <c r="F353" s="48" t="s">
        <v>26</v>
      </c>
      <c r="G353" s="49">
        <v>1</v>
      </c>
      <c r="H353" s="50">
        <v>0</v>
      </c>
      <c r="I353" s="50">
        <v>0</v>
      </c>
      <c r="J353" s="50">
        <v>0</v>
      </c>
      <c r="K353" s="50">
        <f t="shared" si="14"/>
        <v>0</v>
      </c>
      <c r="L353" s="52">
        <f t="shared" si="15"/>
        <v>0</v>
      </c>
    </row>
    <row r="354" spans="3:12" s="53" customFormat="1" ht="27" customHeight="1">
      <c r="C354" s="46"/>
      <c r="D354" s="47"/>
      <c r="E354" s="48"/>
      <c r="F354" s="48"/>
      <c r="G354" s="49"/>
      <c r="H354" s="50"/>
      <c r="I354" s="50"/>
      <c r="J354" s="50"/>
      <c r="K354" s="50"/>
      <c r="L354" s="52"/>
    </row>
    <row r="355" spans="3:12" s="53" customFormat="1" ht="27" customHeight="1">
      <c r="C355" s="207" t="s">
        <v>1353</v>
      </c>
      <c r="D355" s="159" t="s">
        <v>2264</v>
      </c>
      <c r="E355" s="48"/>
      <c r="F355" s="48"/>
      <c r="G355" s="49"/>
      <c r="H355" s="50"/>
      <c r="I355" s="50"/>
      <c r="J355" s="50"/>
      <c r="K355" s="50"/>
      <c r="L355" s="52"/>
    </row>
    <row r="356" spans="3:12" s="53" customFormat="1" ht="27" customHeight="1">
      <c r="C356" s="46"/>
      <c r="D356" s="47"/>
      <c r="E356" s="48"/>
      <c r="F356" s="48"/>
      <c r="G356" s="49"/>
      <c r="H356" s="50"/>
      <c r="I356" s="50"/>
      <c r="J356" s="50"/>
      <c r="K356" s="50"/>
      <c r="L356" s="52"/>
    </row>
    <row r="357" spans="3:12" s="53" customFormat="1" ht="27" customHeight="1">
      <c r="C357" s="46" t="s">
        <v>1354</v>
      </c>
      <c r="D357" s="47" t="s">
        <v>2233</v>
      </c>
      <c r="E357" s="48" t="s">
        <v>351</v>
      </c>
      <c r="F357" s="48" t="s">
        <v>378</v>
      </c>
      <c r="G357" s="49">
        <v>1</v>
      </c>
      <c r="H357" s="50">
        <v>0</v>
      </c>
      <c r="I357" s="50">
        <v>0</v>
      </c>
      <c r="J357" s="50">
        <v>0</v>
      </c>
      <c r="K357" s="50">
        <f t="shared" si="14"/>
        <v>0</v>
      </c>
      <c r="L357" s="52">
        <f t="shared" si="15"/>
        <v>0</v>
      </c>
    </row>
    <row r="358" spans="3:12" s="53" customFormat="1" ht="27" customHeight="1">
      <c r="C358" s="46" t="s">
        <v>1355</v>
      </c>
      <c r="D358" s="47" t="s">
        <v>1117</v>
      </c>
      <c r="E358" s="48" t="s">
        <v>351</v>
      </c>
      <c r="F358" s="48" t="s">
        <v>378</v>
      </c>
      <c r="G358" s="49">
        <v>1</v>
      </c>
      <c r="H358" s="50">
        <v>0</v>
      </c>
      <c r="I358" s="50">
        <v>0</v>
      </c>
      <c r="J358" s="50">
        <v>0</v>
      </c>
      <c r="K358" s="50">
        <f t="shared" si="14"/>
        <v>0</v>
      </c>
      <c r="L358" s="52">
        <f t="shared" si="15"/>
        <v>0</v>
      </c>
    </row>
    <row r="359" spans="3:12" s="53" customFormat="1" ht="27" customHeight="1">
      <c r="C359" s="46" t="s">
        <v>1356</v>
      </c>
      <c r="D359" s="47" t="s">
        <v>1018</v>
      </c>
      <c r="E359" s="48" t="s">
        <v>1865</v>
      </c>
      <c r="F359" s="48" t="s">
        <v>378</v>
      </c>
      <c r="G359" s="49">
        <v>3</v>
      </c>
      <c r="H359" s="50">
        <v>0</v>
      </c>
      <c r="I359" s="50">
        <v>0</v>
      </c>
      <c r="J359" s="50">
        <v>0</v>
      </c>
      <c r="K359" s="50">
        <f t="shared" si="14"/>
        <v>0</v>
      </c>
      <c r="L359" s="52">
        <f t="shared" si="15"/>
        <v>0</v>
      </c>
    </row>
    <row r="360" spans="3:12" s="53" customFormat="1" ht="27" customHeight="1">
      <c r="C360" s="46" t="s">
        <v>1357</v>
      </c>
      <c r="D360" s="47" t="s">
        <v>1019</v>
      </c>
      <c r="E360" s="48" t="s">
        <v>351</v>
      </c>
      <c r="F360" s="48" t="s">
        <v>378</v>
      </c>
      <c r="G360" s="49">
        <v>3</v>
      </c>
      <c r="H360" s="50">
        <v>0</v>
      </c>
      <c r="I360" s="50">
        <v>0</v>
      </c>
      <c r="J360" s="50">
        <v>0</v>
      </c>
      <c r="K360" s="50">
        <f t="shared" si="14"/>
        <v>0</v>
      </c>
      <c r="L360" s="52">
        <f t="shared" si="15"/>
        <v>0</v>
      </c>
    </row>
    <row r="361" spans="3:12" s="53" customFormat="1" ht="27" customHeight="1">
      <c r="C361" s="46" t="s">
        <v>1358</v>
      </c>
      <c r="D361" s="47" t="s">
        <v>1020</v>
      </c>
      <c r="E361" s="48" t="s">
        <v>2126</v>
      </c>
      <c r="F361" s="48" t="s">
        <v>378</v>
      </c>
      <c r="G361" s="49">
        <v>1</v>
      </c>
      <c r="H361" s="50">
        <v>0</v>
      </c>
      <c r="I361" s="50">
        <v>0</v>
      </c>
      <c r="J361" s="50">
        <v>0</v>
      </c>
      <c r="K361" s="50">
        <f t="shared" si="14"/>
        <v>0</v>
      </c>
      <c r="L361" s="52">
        <f t="shared" si="15"/>
        <v>0</v>
      </c>
    </row>
    <row r="362" spans="3:12" s="53" customFormat="1" ht="27" customHeight="1">
      <c r="C362" s="46" t="s">
        <v>1359</v>
      </c>
      <c r="D362" s="47" t="s">
        <v>1021</v>
      </c>
      <c r="E362" s="48" t="s">
        <v>2126</v>
      </c>
      <c r="F362" s="48" t="s">
        <v>378</v>
      </c>
      <c r="G362" s="49">
        <v>3</v>
      </c>
      <c r="H362" s="50">
        <v>0</v>
      </c>
      <c r="I362" s="50">
        <v>0</v>
      </c>
      <c r="J362" s="50">
        <v>0</v>
      </c>
      <c r="K362" s="50">
        <f t="shared" si="14"/>
        <v>0</v>
      </c>
      <c r="L362" s="52">
        <f t="shared" si="15"/>
        <v>0</v>
      </c>
    </row>
    <row r="363" spans="3:12" s="53" customFormat="1" ht="27" customHeight="1">
      <c r="C363" s="46" t="s">
        <v>1360</v>
      </c>
      <c r="D363" s="47" t="s">
        <v>1022</v>
      </c>
      <c r="E363" s="48" t="s">
        <v>2125</v>
      </c>
      <c r="F363" s="48" t="s">
        <v>378</v>
      </c>
      <c r="G363" s="49">
        <v>1</v>
      </c>
      <c r="H363" s="50">
        <v>0</v>
      </c>
      <c r="I363" s="50">
        <v>0</v>
      </c>
      <c r="J363" s="50">
        <v>0</v>
      </c>
      <c r="K363" s="50">
        <f t="shared" si="14"/>
        <v>0</v>
      </c>
      <c r="L363" s="52">
        <f t="shared" si="15"/>
        <v>0</v>
      </c>
    </row>
    <row r="364" spans="3:12" s="53" customFormat="1" ht="27" customHeight="1">
      <c r="C364" s="46" t="s">
        <v>1361</v>
      </c>
      <c r="D364" s="47" t="s">
        <v>2236</v>
      </c>
      <c r="E364" s="48" t="s">
        <v>351</v>
      </c>
      <c r="F364" s="48" t="s">
        <v>378</v>
      </c>
      <c r="G364" s="49">
        <v>1</v>
      </c>
      <c r="H364" s="50">
        <v>0</v>
      </c>
      <c r="I364" s="50">
        <v>0</v>
      </c>
      <c r="J364" s="50">
        <v>0</v>
      </c>
      <c r="K364" s="50">
        <f t="shared" si="14"/>
        <v>0</v>
      </c>
      <c r="L364" s="52">
        <f t="shared" si="15"/>
        <v>0</v>
      </c>
    </row>
    <row r="365" spans="3:12" s="53" customFormat="1" ht="27" customHeight="1">
      <c r="C365" s="46" t="s">
        <v>1362</v>
      </c>
      <c r="D365" s="47" t="s">
        <v>2237</v>
      </c>
      <c r="E365" s="48" t="s">
        <v>351</v>
      </c>
      <c r="F365" s="48" t="s">
        <v>378</v>
      </c>
      <c r="G365" s="49">
        <v>2</v>
      </c>
      <c r="H365" s="50">
        <v>0</v>
      </c>
      <c r="I365" s="50">
        <v>0</v>
      </c>
      <c r="J365" s="50">
        <v>0</v>
      </c>
      <c r="K365" s="50">
        <f t="shared" si="14"/>
        <v>0</v>
      </c>
      <c r="L365" s="52">
        <f t="shared" si="15"/>
        <v>0</v>
      </c>
    </row>
    <row r="366" spans="3:12" s="53" customFormat="1" ht="27" customHeight="1">
      <c r="C366" s="46" t="s">
        <v>1363</v>
      </c>
      <c r="D366" s="47" t="s">
        <v>1025</v>
      </c>
      <c r="E366" s="48" t="s">
        <v>351</v>
      </c>
      <c r="F366" s="48" t="s">
        <v>378</v>
      </c>
      <c r="G366" s="49">
        <v>1</v>
      </c>
      <c r="H366" s="50">
        <v>0</v>
      </c>
      <c r="I366" s="50">
        <v>0</v>
      </c>
      <c r="J366" s="50">
        <v>0</v>
      </c>
      <c r="K366" s="50">
        <f t="shared" si="14"/>
        <v>0</v>
      </c>
      <c r="L366" s="52">
        <f t="shared" si="15"/>
        <v>0</v>
      </c>
    </row>
    <row r="367" spans="3:12" s="53" customFormat="1" ht="27" customHeight="1">
      <c r="C367" s="46" t="s">
        <v>1364</v>
      </c>
      <c r="D367" s="47" t="s">
        <v>1024</v>
      </c>
      <c r="E367" s="48" t="s">
        <v>351</v>
      </c>
      <c r="F367" s="48" t="s">
        <v>378</v>
      </c>
      <c r="G367" s="49">
        <v>17</v>
      </c>
      <c r="H367" s="50">
        <v>0</v>
      </c>
      <c r="I367" s="50">
        <v>0</v>
      </c>
      <c r="J367" s="50">
        <v>0</v>
      </c>
      <c r="K367" s="50">
        <f t="shared" si="14"/>
        <v>0</v>
      </c>
      <c r="L367" s="52">
        <f t="shared" si="15"/>
        <v>0</v>
      </c>
    </row>
    <row r="368" spans="3:12" s="53" customFormat="1" ht="27" customHeight="1">
      <c r="C368" s="46" t="s">
        <v>1365</v>
      </c>
      <c r="D368" s="47" t="s">
        <v>1024</v>
      </c>
      <c r="E368" s="48" t="s">
        <v>351</v>
      </c>
      <c r="F368" s="48" t="s">
        <v>378</v>
      </c>
      <c r="G368" s="49">
        <v>1</v>
      </c>
      <c r="H368" s="50">
        <v>0</v>
      </c>
      <c r="I368" s="50">
        <v>0</v>
      </c>
      <c r="J368" s="50">
        <v>0</v>
      </c>
      <c r="K368" s="50">
        <f t="shared" si="14"/>
        <v>0</v>
      </c>
      <c r="L368" s="52">
        <f t="shared" si="15"/>
        <v>0</v>
      </c>
    </row>
    <row r="369" spans="3:12" s="53" customFormat="1" ht="27" customHeight="1">
      <c r="C369" s="46" t="s">
        <v>1366</v>
      </c>
      <c r="D369" s="47" t="s">
        <v>1034</v>
      </c>
      <c r="E369" s="48" t="s">
        <v>351</v>
      </c>
      <c r="F369" s="48" t="s">
        <v>378</v>
      </c>
      <c r="G369" s="49">
        <v>1</v>
      </c>
      <c r="H369" s="50">
        <v>0</v>
      </c>
      <c r="I369" s="50">
        <v>0</v>
      </c>
      <c r="J369" s="50">
        <v>0</v>
      </c>
      <c r="K369" s="50">
        <f t="shared" si="14"/>
        <v>0</v>
      </c>
      <c r="L369" s="52">
        <f t="shared" si="15"/>
        <v>0</v>
      </c>
    </row>
    <row r="370" spans="3:12" s="53" customFormat="1" ht="27" customHeight="1">
      <c r="C370" s="46" t="s">
        <v>1367</v>
      </c>
      <c r="D370" s="47" t="s">
        <v>2238</v>
      </c>
      <c r="E370" s="48" t="s">
        <v>351</v>
      </c>
      <c r="F370" s="48" t="s">
        <v>378</v>
      </c>
      <c r="G370" s="49">
        <v>1</v>
      </c>
      <c r="H370" s="50">
        <v>0</v>
      </c>
      <c r="I370" s="50">
        <v>0</v>
      </c>
      <c r="J370" s="50">
        <v>0</v>
      </c>
      <c r="K370" s="50">
        <f t="shared" si="14"/>
        <v>0</v>
      </c>
      <c r="L370" s="52">
        <f t="shared" si="15"/>
        <v>0</v>
      </c>
    </row>
    <row r="371" spans="3:12" s="53" customFormat="1" ht="27" customHeight="1">
      <c r="C371" s="46" t="s">
        <v>1368</v>
      </c>
      <c r="D371" s="47" t="s">
        <v>1018</v>
      </c>
      <c r="E371" s="48" t="s">
        <v>1865</v>
      </c>
      <c r="F371" s="48" t="s">
        <v>378</v>
      </c>
      <c r="G371" s="49">
        <v>1</v>
      </c>
      <c r="H371" s="50">
        <v>0</v>
      </c>
      <c r="I371" s="50">
        <v>0</v>
      </c>
      <c r="J371" s="50">
        <v>0</v>
      </c>
      <c r="K371" s="50">
        <f t="shared" si="14"/>
        <v>0</v>
      </c>
      <c r="L371" s="52">
        <f t="shared" si="15"/>
        <v>0</v>
      </c>
    </row>
    <row r="372" spans="3:12" s="53" customFormat="1" ht="27" customHeight="1">
      <c r="C372" s="46" t="s">
        <v>1369</v>
      </c>
      <c r="D372" s="47" t="s">
        <v>1019</v>
      </c>
      <c r="E372" s="48" t="s">
        <v>351</v>
      </c>
      <c r="F372" s="48" t="s">
        <v>378</v>
      </c>
      <c r="G372" s="49">
        <v>1</v>
      </c>
      <c r="H372" s="50">
        <v>0</v>
      </c>
      <c r="I372" s="50">
        <v>0</v>
      </c>
      <c r="J372" s="50">
        <v>0</v>
      </c>
      <c r="K372" s="50">
        <f t="shared" si="14"/>
        <v>0</v>
      </c>
      <c r="L372" s="52">
        <f t="shared" si="15"/>
        <v>0</v>
      </c>
    </row>
    <row r="373" spans="3:12" s="53" customFormat="1" ht="27" customHeight="1">
      <c r="C373" s="46" t="s">
        <v>1370</v>
      </c>
      <c r="D373" s="47" t="s">
        <v>1024</v>
      </c>
      <c r="E373" s="48" t="s">
        <v>351</v>
      </c>
      <c r="F373" s="48" t="s">
        <v>378</v>
      </c>
      <c r="G373" s="49">
        <v>4</v>
      </c>
      <c r="H373" s="50">
        <v>0</v>
      </c>
      <c r="I373" s="50">
        <v>0</v>
      </c>
      <c r="J373" s="50">
        <v>0</v>
      </c>
      <c r="K373" s="50">
        <f t="shared" si="14"/>
        <v>0</v>
      </c>
      <c r="L373" s="52">
        <f t="shared" si="15"/>
        <v>0</v>
      </c>
    </row>
    <row r="374" spans="3:12" s="53" customFormat="1" ht="27" customHeight="1">
      <c r="C374" s="46" t="s">
        <v>1371</v>
      </c>
      <c r="D374" s="47" t="s">
        <v>1037</v>
      </c>
      <c r="E374" s="136" t="s">
        <v>2124</v>
      </c>
      <c r="F374" s="48" t="s">
        <v>26</v>
      </c>
      <c r="G374" s="49">
        <v>4</v>
      </c>
      <c r="H374" s="50">
        <v>0</v>
      </c>
      <c r="I374" s="50">
        <v>0</v>
      </c>
      <c r="J374" s="50">
        <v>0</v>
      </c>
      <c r="K374" s="50">
        <f t="shared" si="14"/>
        <v>0</v>
      </c>
      <c r="L374" s="52">
        <f t="shared" si="15"/>
        <v>0</v>
      </c>
    </row>
    <row r="375" spans="3:12" s="53" customFormat="1" ht="27" customHeight="1">
      <c r="C375" s="46" t="s">
        <v>1372</v>
      </c>
      <c r="D375" s="47" t="s">
        <v>1038</v>
      </c>
      <c r="E375" s="136" t="s">
        <v>2124</v>
      </c>
      <c r="F375" s="48" t="s">
        <v>26</v>
      </c>
      <c r="G375" s="49">
        <v>4</v>
      </c>
      <c r="H375" s="50">
        <v>0</v>
      </c>
      <c r="I375" s="50">
        <v>0</v>
      </c>
      <c r="J375" s="50">
        <v>0</v>
      </c>
      <c r="K375" s="50">
        <f t="shared" si="14"/>
        <v>0</v>
      </c>
      <c r="L375" s="52">
        <f t="shared" si="15"/>
        <v>0</v>
      </c>
    </row>
    <row r="376" spans="3:12" s="53" customFormat="1" ht="27" customHeight="1">
      <c r="C376" s="46" t="s">
        <v>1373</v>
      </c>
      <c r="D376" s="47" t="s">
        <v>1039</v>
      </c>
      <c r="E376" s="136" t="s">
        <v>2124</v>
      </c>
      <c r="F376" s="48" t="s">
        <v>26</v>
      </c>
      <c r="G376" s="49">
        <v>24</v>
      </c>
      <c r="H376" s="50">
        <v>0</v>
      </c>
      <c r="I376" s="50">
        <v>0</v>
      </c>
      <c r="J376" s="50">
        <v>0</v>
      </c>
      <c r="K376" s="50">
        <f t="shared" si="14"/>
        <v>0</v>
      </c>
      <c r="L376" s="52">
        <f t="shared" si="15"/>
        <v>0</v>
      </c>
    </row>
    <row r="377" spans="3:12" s="53" customFormat="1" ht="27" customHeight="1">
      <c r="C377" s="46" t="s">
        <v>1374</v>
      </c>
      <c r="D377" s="47" t="s">
        <v>1040</v>
      </c>
      <c r="E377" s="136" t="s">
        <v>2124</v>
      </c>
      <c r="F377" s="48" t="s">
        <v>26</v>
      </c>
      <c r="G377" s="49">
        <v>2</v>
      </c>
      <c r="H377" s="50">
        <v>0</v>
      </c>
      <c r="I377" s="50">
        <v>0</v>
      </c>
      <c r="J377" s="50">
        <v>0</v>
      </c>
      <c r="K377" s="50">
        <f t="shared" si="14"/>
        <v>0</v>
      </c>
      <c r="L377" s="52">
        <f t="shared" si="15"/>
        <v>0</v>
      </c>
    </row>
    <row r="378" spans="3:12" s="53" customFormat="1" ht="27" customHeight="1">
      <c r="C378" s="46" t="s">
        <v>1375</v>
      </c>
      <c r="D378" s="47" t="s">
        <v>2134</v>
      </c>
      <c r="E378" s="48" t="s">
        <v>2172</v>
      </c>
      <c r="F378" s="48" t="s">
        <v>26</v>
      </c>
      <c r="G378" s="49">
        <v>1</v>
      </c>
      <c r="H378" s="50">
        <v>0</v>
      </c>
      <c r="I378" s="50">
        <v>0</v>
      </c>
      <c r="J378" s="50">
        <v>0</v>
      </c>
      <c r="K378" s="50">
        <f t="shared" si="14"/>
        <v>0</v>
      </c>
      <c r="L378" s="52">
        <f t="shared" si="15"/>
        <v>0</v>
      </c>
    </row>
    <row r="379" spans="3:12" s="53" customFormat="1" ht="27" customHeight="1">
      <c r="C379" s="46"/>
      <c r="D379" s="47"/>
      <c r="E379" s="48"/>
      <c r="F379" s="48"/>
      <c r="G379" s="49"/>
      <c r="H379" s="50"/>
      <c r="I379" s="50"/>
      <c r="J379" s="50"/>
      <c r="K379" s="50"/>
      <c r="L379" s="52"/>
    </row>
    <row r="380" spans="3:12" s="53" customFormat="1" ht="27" customHeight="1">
      <c r="C380" s="207" t="s">
        <v>1376</v>
      </c>
      <c r="D380" s="159" t="s">
        <v>2265</v>
      </c>
      <c r="E380" s="48"/>
      <c r="F380" s="48"/>
      <c r="G380" s="49"/>
      <c r="H380" s="50"/>
      <c r="I380" s="50"/>
      <c r="J380" s="50"/>
      <c r="K380" s="50"/>
      <c r="L380" s="52"/>
    </row>
    <row r="381" spans="3:12" s="53" customFormat="1" ht="27" customHeight="1">
      <c r="C381" s="46"/>
      <c r="D381" s="47"/>
      <c r="E381" s="48"/>
      <c r="F381" s="48"/>
      <c r="G381" s="49"/>
      <c r="H381" s="50"/>
      <c r="I381" s="50"/>
      <c r="J381" s="50"/>
      <c r="K381" s="50"/>
      <c r="L381" s="52"/>
    </row>
    <row r="382" spans="3:12" s="53" customFormat="1" ht="27" customHeight="1">
      <c r="C382" s="46" t="s">
        <v>1377</v>
      </c>
      <c r="D382" s="47" t="s">
        <v>2230</v>
      </c>
      <c r="E382" s="48" t="s">
        <v>351</v>
      </c>
      <c r="F382" s="48" t="s">
        <v>378</v>
      </c>
      <c r="G382" s="49">
        <v>1</v>
      </c>
      <c r="H382" s="50">
        <v>0</v>
      </c>
      <c r="I382" s="50">
        <v>0</v>
      </c>
      <c r="J382" s="50">
        <v>0</v>
      </c>
      <c r="K382" s="50">
        <f t="shared" si="14"/>
        <v>0</v>
      </c>
      <c r="L382" s="52">
        <f t="shared" si="15"/>
        <v>0</v>
      </c>
    </row>
    <row r="383" spans="3:12" s="53" customFormat="1" ht="27" customHeight="1">
      <c r="C383" s="46" t="s">
        <v>1378</v>
      </c>
      <c r="D383" s="47" t="s">
        <v>1117</v>
      </c>
      <c r="E383" s="48" t="s">
        <v>351</v>
      </c>
      <c r="F383" s="48" t="s">
        <v>378</v>
      </c>
      <c r="G383" s="49">
        <v>1</v>
      </c>
      <c r="H383" s="50">
        <v>0</v>
      </c>
      <c r="I383" s="50">
        <v>0</v>
      </c>
      <c r="J383" s="50">
        <v>0</v>
      </c>
      <c r="K383" s="50">
        <f t="shared" si="14"/>
        <v>0</v>
      </c>
      <c r="L383" s="52">
        <f t="shared" si="15"/>
        <v>0</v>
      </c>
    </row>
    <row r="384" spans="3:12" s="53" customFormat="1" ht="27" customHeight="1">
      <c r="C384" s="46" t="s">
        <v>1379</v>
      </c>
      <c r="D384" s="47" t="s">
        <v>1018</v>
      </c>
      <c r="E384" s="48" t="s">
        <v>1865</v>
      </c>
      <c r="F384" s="48" t="s">
        <v>378</v>
      </c>
      <c r="G384" s="49">
        <v>3</v>
      </c>
      <c r="H384" s="50">
        <v>0</v>
      </c>
      <c r="I384" s="50">
        <v>0</v>
      </c>
      <c r="J384" s="50">
        <v>0</v>
      </c>
      <c r="K384" s="50">
        <f t="shared" si="14"/>
        <v>0</v>
      </c>
      <c r="L384" s="52">
        <f t="shared" si="15"/>
        <v>0</v>
      </c>
    </row>
    <row r="385" spans="3:12" s="53" customFormat="1" ht="27" customHeight="1">
      <c r="C385" s="46" t="s">
        <v>1380</v>
      </c>
      <c r="D385" s="47" t="s">
        <v>1019</v>
      </c>
      <c r="E385" s="48" t="s">
        <v>351</v>
      </c>
      <c r="F385" s="48" t="s">
        <v>378</v>
      </c>
      <c r="G385" s="49">
        <v>3</v>
      </c>
      <c r="H385" s="50">
        <v>0</v>
      </c>
      <c r="I385" s="50">
        <v>0</v>
      </c>
      <c r="J385" s="50">
        <v>0</v>
      </c>
      <c r="K385" s="50">
        <f t="shared" si="14"/>
        <v>0</v>
      </c>
      <c r="L385" s="52">
        <f t="shared" si="15"/>
        <v>0</v>
      </c>
    </row>
    <row r="386" spans="3:12" s="53" customFormat="1" ht="27" customHeight="1">
      <c r="C386" s="46" t="s">
        <v>1381</v>
      </c>
      <c r="D386" s="47" t="s">
        <v>1020</v>
      </c>
      <c r="E386" s="48" t="s">
        <v>2126</v>
      </c>
      <c r="F386" s="48" t="s">
        <v>378</v>
      </c>
      <c r="G386" s="49">
        <v>1</v>
      </c>
      <c r="H386" s="50">
        <v>0</v>
      </c>
      <c r="I386" s="50">
        <v>0</v>
      </c>
      <c r="J386" s="50">
        <v>0</v>
      </c>
      <c r="K386" s="50">
        <f t="shared" si="14"/>
        <v>0</v>
      </c>
      <c r="L386" s="52">
        <f t="shared" si="15"/>
        <v>0</v>
      </c>
    </row>
    <row r="387" spans="3:12" s="53" customFormat="1" ht="27" customHeight="1">
      <c r="C387" s="46" t="s">
        <v>1382</v>
      </c>
      <c r="D387" s="47" t="s">
        <v>1021</v>
      </c>
      <c r="E387" s="48" t="s">
        <v>2126</v>
      </c>
      <c r="F387" s="48" t="s">
        <v>378</v>
      </c>
      <c r="G387" s="49">
        <v>3</v>
      </c>
      <c r="H387" s="50">
        <v>0</v>
      </c>
      <c r="I387" s="50">
        <v>0</v>
      </c>
      <c r="J387" s="50">
        <v>0</v>
      </c>
      <c r="K387" s="50">
        <f t="shared" si="14"/>
        <v>0</v>
      </c>
      <c r="L387" s="52">
        <f t="shared" si="15"/>
        <v>0</v>
      </c>
    </row>
    <row r="388" spans="3:12" s="53" customFormat="1" ht="27" customHeight="1">
      <c r="C388" s="46" t="s">
        <v>1383</v>
      </c>
      <c r="D388" s="47" t="s">
        <v>1022</v>
      </c>
      <c r="E388" s="48" t="s">
        <v>2125</v>
      </c>
      <c r="F388" s="48" t="s">
        <v>378</v>
      </c>
      <c r="G388" s="49">
        <v>1</v>
      </c>
      <c r="H388" s="50">
        <v>0</v>
      </c>
      <c r="I388" s="50">
        <v>0</v>
      </c>
      <c r="J388" s="50">
        <v>0</v>
      </c>
      <c r="K388" s="50">
        <f t="shared" ref="K388:K449" si="16">+H388+I388+J388</f>
        <v>0</v>
      </c>
      <c r="L388" s="52">
        <f t="shared" ref="L388:L449" si="17">+G388*K388</f>
        <v>0</v>
      </c>
    </row>
    <row r="389" spans="3:12" s="53" customFormat="1" ht="27" customHeight="1">
      <c r="C389" s="46" t="s">
        <v>1384</v>
      </c>
      <c r="D389" s="47" t="s">
        <v>2236</v>
      </c>
      <c r="E389" s="48" t="s">
        <v>351</v>
      </c>
      <c r="F389" s="48" t="s">
        <v>378</v>
      </c>
      <c r="G389" s="49">
        <v>2</v>
      </c>
      <c r="H389" s="50">
        <v>0</v>
      </c>
      <c r="I389" s="50">
        <v>0</v>
      </c>
      <c r="J389" s="50">
        <v>0</v>
      </c>
      <c r="K389" s="50">
        <f t="shared" si="16"/>
        <v>0</v>
      </c>
      <c r="L389" s="52">
        <f t="shared" si="17"/>
        <v>0</v>
      </c>
    </row>
    <row r="390" spans="3:12" s="53" customFormat="1" ht="27" customHeight="1">
      <c r="C390" s="46" t="s">
        <v>1385</v>
      </c>
      <c r="D390" s="47" t="s">
        <v>2237</v>
      </c>
      <c r="E390" s="48" t="s">
        <v>351</v>
      </c>
      <c r="F390" s="48" t="s">
        <v>378</v>
      </c>
      <c r="G390" s="49">
        <v>3</v>
      </c>
      <c r="H390" s="50">
        <v>0</v>
      </c>
      <c r="I390" s="50">
        <v>0</v>
      </c>
      <c r="J390" s="50">
        <v>0</v>
      </c>
      <c r="K390" s="50">
        <f t="shared" si="16"/>
        <v>0</v>
      </c>
      <c r="L390" s="52">
        <f t="shared" si="17"/>
        <v>0</v>
      </c>
    </row>
    <row r="391" spans="3:12" s="53" customFormat="1" ht="27" customHeight="1">
      <c r="C391" s="46" t="s">
        <v>1386</v>
      </c>
      <c r="D391" s="47" t="s">
        <v>1025</v>
      </c>
      <c r="E391" s="48" t="s">
        <v>351</v>
      </c>
      <c r="F391" s="48" t="s">
        <v>378</v>
      </c>
      <c r="G391" s="49">
        <v>1</v>
      </c>
      <c r="H391" s="50">
        <v>0</v>
      </c>
      <c r="I391" s="50">
        <v>0</v>
      </c>
      <c r="J391" s="50">
        <v>0</v>
      </c>
      <c r="K391" s="50">
        <f t="shared" si="16"/>
        <v>0</v>
      </c>
      <c r="L391" s="52">
        <f t="shared" si="17"/>
        <v>0</v>
      </c>
    </row>
    <row r="392" spans="3:12" s="53" customFormat="1" ht="27" customHeight="1">
      <c r="C392" s="46" t="s">
        <v>1387</v>
      </c>
      <c r="D392" s="47" t="s">
        <v>1024</v>
      </c>
      <c r="E392" s="48" t="s">
        <v>351</v>
      </c>
      <c r="F392" s="48" t="s">
        <v>378</v>
      </c>
      <c r="G392" s="49">
        <v>30</v>
      </c>
      <c r="H392" s="50">
        <v>0</v>
      </c>
      <c r="I392" s="50">
        <v>0</v>
      </c>
      <c r="J392" s="50">
        <v>0</v>
      </c>
      <c r="K392" s="50">
        <f t="shared" si="16"/>
        <v>0</v>
      </c>
      <c r="L392" s="52">
        <f t="shared" si="17"/>
        <v>0</v>
      </c>
    </row>
    <row r="393" spans="3:12" s="53" customFormat="1" ht="27" customHeight="1">
      <c r="C393" s="46" t="s">
        <v>1388</v>
      </c>
      <c r="D393" s="47" t="s">
        <v>1034</v>
      </c>
      <c r="E393" s="48" t="s">
        <v>351</v>
      </c>
      <c r="F393" s="48" t="s">
        <v>378</v>
      </c>
      <c r="G393" s="49">
        <v>1</v>
      </c>
      <c r="H393" s="50">
        <v>0</v>
      </c>
      <c r="I393" s="50">
        <v>0</v>
      </c>
      <c r="J393" s="50">
        <v>0</v>
      </c>
      <c r="K393" s="50">
        <f t="shared" si="16"/>
        <v>0</v>
      </c>
      <c r="L393" s="52">
        <f t="shared" si="17"/>
        <v>0</v>
      </c>
    </row>
    <row r="394" spans="3:12" s="53" customFormat="1" ht="27" customHeight="1">
      <c r="C394" s="46" t="s">
        <v>1389</v>
      </c>
      <c r="D394" s="47" t="s">
        <v>2238</v>
      </c>
      <c r="E394" s="48" t="s">
        <v>351</v>
      </c>
      <c r="F394" s="48" t="s">
        <v>378</v>
      </c>
      <c r="G394" s="49">
        <v>1</v>
      </c>
      <c r="H394" s="50">
        <v>0</v>
      </c>
      <c r="I394" s="50">
        <v>0</v>
      </c>
      <c r="J394" s="50">
        <v>0</v>
      </c>
      <c r="K394" s="50">
        <f t="shared" si="16"/>
        <v>0</v>
      </c>
      <c r="L394" s="52">
        <f t="shared" si="17"/>
        <v>0</v>
      </c>
    </row>
    <row r="395" spans="3:12" s="53" customFormat="1" ht="27" customHeight="1">
      <c r="C395" s="46" t="s">
        <v>1390</v>
      </c>
      <c r="D395" s="47" t="s">
        <v>1018</v>
      </c>
      <c r="E395" s="48" t="s">
        <v>1865</v>
      </c>
      <c r="F395" s="48" t="s">
        <v>378</v>
      </c>
      <c r="G395" s="49">
        <v>1</v>
      </c>
      <c r="H395" s="50">
        <v>0</v>
      </c>
      <c r="I395" s="50">
        <v>0</v>
      </c>
      <c r="J395" s="50">
        <v>0</v>
      </c>
      <c r="K395" s="50">
        <f t="shared" si="16"/>
        <v>0</v>
      </c>
      <c r="L395" s="52">
        <f t="shared" si="17"/>
        <v>0</v>
      </c>
    </row>
    <row r="396" spans="3:12" s="53" customFormat="1" ht="27" customHeight="1">
      <c r="C396" s="46" t="s">
        <v>1391</v>
      </c>
      <c r="D396" s="47" t="s">
        <v>1019</v>
      </c>
      <c r="E396" s="48" t="s">
        <v>351</v>
      </c>
      <c r="F396" s="48" t="s">
        <v>378</v>
      </c>
      <c r="G396" s="49">
        <v>1</v>
      </c>
      <c r="H396" s="50">
        <v>0</v>
      </c>
      <c r="I396" s="50">
        <v>0</v>
      </c>
      <c r="J396" s="50">
        <v>0</v>
      </c>
      <c r="K396" s="50">
        <f t="shared" si="16"/>
        <v>0</v>
      </c>
      <c r="L396" s="52">
        <f t="shared" si="17"/>
        <v>0</v>
      </c>
    </row>
    <row r="397" spans="3:12" s="53" customFormat="1" ht="27" customHeight="1">
      <c r="C397" s="46" t="s">
        <v>1392</v>
      </c>
      <c r="D397" s="47" t="s">
        <v>1024</v>
      </c>
      <c r="E397" s="48" t="s">
        <v>351</v>
      </c>
      <c r="F397" s="48" t="s">
        <v>378</v>
      </c>
      <c r="G397" s="49">
        <v>4</v>
      </c>
      <c r="H397" s="50">
        <v>0</v>
      </c>
      <c r="I397" s="50">
        <v>0</v>
      </c>
      <c r="J397" s="50">
        <v>0</v>
      </c>
      <c r="K397" s="50">
        <f t="shared" si="16"/>
        <v>0</v>
      </c>
      <c r="L397" s="52">
        <f t="shared" si="17"/>
        <v>0</v>
      </c>
    </row>
    <row r="398" spans="3:12" s="53" customFormat="1" ht="27" customHeight="1">
      <c r="C398" s="46" t="s">
        <v>1393</v>
      </c>
      <c r="D398" s="47" t="s">
        <v>1037</v>
      </c>
      <c r="E398" s="136" t="s">
        <v>2124</v>
      </c>
      <c r="F398" s="48" t="s">
        <v>26</v>
      </c>
      <c r="G398" s="49">
        <v>4</v>
      </c>
      <c r="H398" s="50">
        <v>0</v>
      </c>
      <c r="I398" s="50">
        <v>0</v>
      </c>
      <c r="J398" s="50">
        <v>0</v>
      </c>
      <c r="K398" s="50">
        <f t="shared" si="16"/>
        <v>0</v>
      </c>
      <c r="L398" s="52">
        <f t="shared" si="17"/>
        <v>0</v>
      </c>
    </row>
    <row r="399" spans="3:12" s="53" customFormat="1" ht="27" customHeight="1">
      <c r="C399" s="46" t="s">
        <v>1394</v>
      </c>
      <c r="D399" s="47" t="s">
        <v>1038</v>
      </c>
      <c r="E399" s="136" t="s">
        <v>2124</v>
      </c>
      <c r="F399" s="48" t="s">
        <v>26</v>
      </c>
      <c r="G399" s="49">
        <v>4</v>
      </c>
      <c r="H399" s="50">
        <v>0</v>
      </c>
      <c r="I399" s="50">
        <v>0</v>
      </c>
      <c r="J399" s="50">
        <v>0</v>
      </c>
      <c r="K399" s="50">
        <f t="shared" si="16"/>
        <v>0</v>
      </c>
      <c r="L399" s="52">
        <f t="shared" si="17"/>
        <v>0</v>
      </c>
    </row>
    <row r="400" spans="3:12" s="53" customFormat="1" ht="27" customHeight="1">
      <c r="C400" s="46" t="s">
        <v>1395</v>
      </c>
      <c r="D400" s="47" t="s">
        <v>1039</v>
      </c>
      <c r="E400" s="136" t="s">
        <v>2124</v>
      </c>
      <c r="F400" s="48" t="s">
        <v>26</v>
      </c>
      <c r="G400" s="49">
        <v>37</v>
      </c>
      <c r="H400" s="50">
        <v>0</v>
      </c>
      <c r="I400" s="50">
        <v>0</v>
      </c>
      <c r="J400" s="50">
        <v>0</v>
      </c>
      <c r="K400" s="50">
        <f t="shared" si="16"/>
        <v>0</v>
      </c>
      <c r="L400" s="52">
        <f t="shared" si="17"/>
        <v>0</v>
      </c>
    </row>
    <row r="401" spans="3:12" s="53" customFormat="1" ht="27" customHeight="1">
      <c r="C401" s="46" t="s">
        <v>1396</v>
      </c>
      <c r="D401" s="47" t="s">
        <v>1040</v>
      </c>
      <c r="E401" s="136" t="s">
        <v>2124</v>
      </c>
      <c r="F401" s="48" t="s">
        <v>26</v>
      </c>
      <c r="G401" s="49">
        <v>2</v>
      </c>
      <c r="H401" s="50">
        <v>0</v>
      </c>
      <c r="I401" s="50">
        <v>0</v>
      </c>
      <c r="J401" s="50">
        <v>0</v>
      </c>
      <c r="K401" s="50">
        <f t="shared" si="16"/>
        <v>0</v>
      </c>
      <c r="L401" s="52">
        <f t="shared" si="17"/>
        <v>0</v>
      </c>
    </row>
    <row r="402" spans="3:12" s="53" customFormat="1" ht="27" customHeight="1">
      <c r="C402" s="46" t="s">
        <v>1397</v>
      </c>
      <c r="D402" s="47" t="s">
        <v>2135</v>
      </c>
      <c r="E402" s="48" t="s">
        <v>2172</v>
      </c>
      <c r="F402" s="48" t="s">
        <v>26</v>
      </c>
      <c r="G402" s="49">
        <v>1</v>
      </c>
      <c r="H402" s="50">
        <v>0</v>
      </c>
      <c r="I402" s="50">
        <v>0</v>
      </c>
      <c r="J402" s="50">
        <v>0</v>
      </c>
      <c r="K402" s="50">
        <f t="shared" si="16"/>
        <v>0</v>
      </c>
      <c r="L402" s="52">
        <f t="shared" si="17"/>
        <v>0</v>
      </c>
    </row>
    <row r="403" spans="3:12" s="53" customFormat="1" ht="27" customHeight="1">
      <c r="C403" s="46"/>
      <c r="D403" s="47"/>
      <c r="E403" s="48"/>
      <c r="F403" s="48"/>
      <c r="G403" s="49"/>
      <c r="H403" s="50"/>
      <c r="I403" s="50"/>
      <c r="J403" s="50"/>
      <c r="K403" s="50"/>
      <c r="L403" s="52"/>
    </row>
    <row r="404" spans="3:12" s="53" customFormat="1" ht="27" customHeight="1">
      <c r="C404" s="207" t="s">
        <v>1398</v>
      </c>
      <c r="D404" s="159" t="s">
        <v>2266</v>
      </c>
      <c r="E404" s="48"/>
      <c r="F404" s="48"/>
      <c r="G404" s="49"/>
      <c r="H404" s="50"/>
      <c r="I404" s="50"/>
      <c r="J404" s="50"/>
      <c r="K404" s="50"/>
      <c r="L404" s="52"/>
    </row>
    <row r="405" spans="3:12" s="53" customFormat="1" ht="27" customHeight="1">
      <c r="C405" s="46"/>
      <c r="D405" s="47"/>
      <c r="E405" s="48"/>
      <c r="F405" s="48"/>
      <c r="G405" s="49"/>
      <c r="H405" s="50"/>
      <c r="I405" s="50"/>
      <c r="J405" s="50"/>
      <c r="K405" s="50"/>
      <c r="L405" s="52"/>
    </row>
    <row r="406" spans="3:12" s="53" customFormat="1" ht="27" customHeight="1">
      <c r="C406" s="46" t="s">
        <v>1411</v>
      </c>
      <c r="D406" s="47" t="s">
        <v>1399</v>
      </c>
      <c r="E406" s="48" t="s">
        <v>351</v>
      </c>
      <c r="F406" s="48" t="s">
        <v>378</v>
      </c>
      <c r="G406" s="49">
        <v>1</v>
      </c>
      <c r="H406" s="50">
        <v>0</v>
      </c>
      <c r="I406" s="50">
        <v>0</v>
      </c>
      <c r="J406" s="50">
        <v>0</v>
      </c>
      <c r="K406" s="50">
        <f t="shared" si="16"/>
        <v>0</v>
      </c>
      <c r="L406" s="52">
        <f t="shared" si="17"/>
        <v>0</v>
      </c>
    </row>
    <row r="407" spans="3:12" s="53" customFormat="1" ht="27" customHeight="1">
      <c r="C407" s="46" t="s">
        <v>1412</v>
      </c>
      <c r="D407" s="47" t="s">
        <v>2230</v>
      </c>
      <c r="E407" s="48" t="s">
        <v>351</v>
      </c>
      <c r="F407" s="48" t="s">
        <v>378</v>
      </c>
      <c r="G407" s="49">
        <v>1</v>
      </c>
      <c r="H407" s="50">
        <v>0</v>
      </c>
      <c r="I407" s="50">
        <v>0</v>
      </c>
      <c r="J407" s="50">
        <v>0</v>
      </c>
      <c r="K407" s="50">
        <f t="shared" si="16"/>
        <v>0</v>
      </c>
      <c r="L407" s="52">
        <f t="shared" si="17"/>
        <v>0</v>
      </c>
    </row>
    <row r="408" spans="3:12" s="53" customFormat="1" ht="27" customHeight="1">
      <c r="C408" s="46" t="s">
        <v>1413</v>
      </c>
      <c r="D408" s="47" t="s">
        <v>1018</v>
      </c>
      <c r="E408" s="48" t="s">
        <v>1865</v>
      </c>
      <c r="F408" s="48" t="s">
        <v>378</v>
      </c>
      <c r="G408" s="49">
        <v>3</v>
      </c>
      <c r="H408" s="50">
        <v>0</v>
      </c>
      <c r="I408" s="50">
        <v>0</v>
      </c>
      <c r="J408" s="50">
        <v>0</v>
      </c>
      <c r="K408" s="50">
        <f t="shared" si="16"/>
        <v>0</v>
      </c>
      <c r="L408" s="52">
        <f t="shared" si="17"/>
        <v>0</v>
      </c>
    </row>
    <row r="409" spans="3:12" s="53" customFormat="1" ht="27" customHeight="1">
      <c r="C409" s="46" t="s">
        <v>1414</v>
      </c>
      <c r="D409" s="47" t="s">
        <v>2234</v>
      </c>
      <c r="E409" s="48" t="s">
        <v>351</v>
      </c>
      <c r="F409" s="48" t="s">
        <v>378</v>
      </c>
      <c r="G409" s="49">
        <v>1</v>
      </c>
      <c r="H409" s="50">
        <v>0</v>
      </c>
      <c r="I409" s="50">
        <v>0</v>
      </c>
      <c r="J409" s="50">
        <v>0</v>
      </c>
      <c r="K409" s="50">
        <f>+H409+I409+J409</f>
        <v>0</v>
      </c>
      <c r="L409" s="52">
        <f>+G409*K409</f>
        <v>0</v>
      </c>
    </row>
    <row r="410" spans="3:12" s="53" customFormat="1" ht="27" customHeight="1">
      <c r="C410" s="46" t="s">
        <v>1415</v>
      </c>
      <c r="D410" s="47" t="s">
        <v>1019</v>
      </c>
      <c r="E410" s="48" t="s">
        <v>351</v>
      </c>
      <c r="F410" s="48" t="s">
        <v>378</v>
      </c>
      <c r="G410" s="49">
        <v>3</v>
      </c>
      <c r="H410" s="50">
        <v>0</v>
      </c>
      <c r="I410" s="50">
        <v>0</v>
      </c>
      <c r="J410" s="50">
        <v>0</v>
      </c>
      <c r="K410" s="50">
        <f t="shared" si="16"/>
        <v>0</v>
      </c>
      <c r="L410" s="52">
        <f t="shared" si="17"/>
        <v>0</v>
      </c>
    </row>
    <row r="411" spans="3:12" s="53" customFormat="1" ht="27" customHeight="1">
      <c r="C411" s="46" t="s">
        <v>1416</v>
      </c>
      <c r="D411" s="47" t="s">
        <v>1400</v>
      </c>
      <c r="E411" s="48" t="s">
        <v>2126</v>
      </c>
      <c r="F411" s="48" t="s">
        <v>378</v>
      </c>
      <c r="G411" s="49">
        <v>1</v>
      </c>
      <c r="H411" s="50">
        <v>0</v>
      </c>
      <c r="I411" s="50">
        <v>0</v>
      </c>
      <c r="J411" s="50">
        <v>0</v>
      </c>
      <c r="K411" s="50">
        <f t="shared" si="16"/>
        <v>0</v>
      </c>
      <c r="L411" s="52">
        <f t="shared" si="17"/>
        <v>0</v>
      </c>
    </row>
    <row r="412" spans="3:12" s="53" customFormat="1" ht="27" customHeight="1">
      <c r="C412" s="46" t="s">
        <v>1417</v>
      </c>
      <c r="D412" s="47" t="s">
        <v>1401</v>
      </c>
      <c r="E412" s="48" t="s">
        <v>2126</v>
      </c>
      <c r="F412" s="48" t="s">
        <v>378</v>
      </c>
      <c r="G412" s="49">
        <v>3</v>
      </c>
      <c r="H412" s="50">
        <v>0</v>
      </c>
      <c r="I412" s="50">
        <v>0</v>
      </c>
      <c r="J412" s="50">
        <v>0</v>
      </c>
      <c r="K412" s="50">
        <f t="shared" si="16"/>
        <v>0</v>
      </c>
      <c r="L412" s="52">
        <f t="shared" si="17"/>
        <v>0</v>
      </c>
    </row>
    <row r="413" spans="3:12" s="53" customFormat="1" ht="27" customHeight="1">
      <c r="C413" s="46" t="s">
        <v>1418</v>
      </c>
      <c r="D413" s="47" t="s">
        <v>1022</v>
      </c>
      <c r="E413" s="48" t="s">
        <v>2125</v>
      </c>
      <c r="F413" s="48" t="s">
        <v>378</v>
      </c>
      <c r="G413" s="49">
        <v>1</v>
      </c>
      <c r="H413" s="50">
        <v>0</v>
      </c>
      <c r="I413" s="50">
        <v>0</v>
      </c>
      <c r="J413" s="50">
        <v>0</v>
      </c>
      <c r="K413" s="50">
        <f t="shared" si="16"/>
        <v>0</v>
      </c>
      <c r="L413" s="52">
        <f t="shared" si="17"/>
        <v>0</v>
      </c>
    </row>
    <row r="414" spans="3:12" s="53" customFormat="1" ht="27" customHeight="1">
      <c r="C414" s="46" t="s">
        <v>1419</v>
      </c>
      <c r="D414" s="47" t="s">
        <v>1089</v>
      </c>
      <c r="E414" s="48" t="s">
        <v>351</v>
      </c>
      <c r="F414" s="48" t="s">
        <v>378</v>
      </c>
      <c r="G414" s="49">
        <v>5</v>
      </c>
      <c r="H414" s="50">
        <v>0</v>
      </c>
      <c r="I414" s="50">
        <v>0</v>
      </c>
      <c r="J414" s="50">
        <v>0</v>
      </c>
      <c r="K414" s="50">
        <f t="shared" si="16"/>
        <v>0</v>
      </c>
      <c r="L414" s="52">
        <f t="shared" si="17"/>
        <v>0</v>
      </c>
    </row>
    <row r="415" spans="3:12" s="53" customFormat="1" ht="27" customHeight="1">
      <c r="C415" s="46" t="s">
        <v>1420</v>
      </c>
      <c r="D415" s="47" t="s">
        <v>1066</v>
      </c>
      <c r="E415" s="48" t="s">
        <v>351</v>
      </c>
      <c r="F415" s="48" t="s">
        <v>378</v>
      </c>
      <c r="G415" s="49">
        <v>3</v>
      </c>
      <c r="H415" s="50">
        <v>0</v>
      </c>
      <c r="I415" s="50">
        <v>0</v>
      </c>
      <c r="J415" s="50">
        <v>0</v>
      </c>
      <c r="K415" s="50">
        <f t="shared" si="16"/>
        <v>0</v>
      </c>
      <c r="L415" s="52">
        <f t="shared" si="17"/>
        <v>0</v>
      </c>
    </row>
    <row r="416" spans="3:12" s="53" customFormat="1" ht="27" customHeight="1">
      <c r="C416" s="46" t="s">
        <v>1421</v>
      </c>
      <c r="D416" s="47" t="s">
        <v>1024</v>
      </c>
      <c r="E416" s="48" t="s">
        <v>351</v>
      </c>
      <c r="F416" s="48" t="s">
        <v>378</v>
      </c>
      <c r="G416" s="49">
        <v>4</v>
      </c>
      <c r="H416" s="50">
        <v>0</v>
      </c>
      <c r="I416" s="50">
        <v>0</v>
      </c>
      <c r="J416" s="50">
        <v>0</v>
      </c>
      <c r="K416" s="50">
        <f t="shared" si="16"/>
        <v>0</v>
      </c>
      <c r="L416" s="52">
        <f t="shared" si="17"/>
        <v>0</v>
      </c>
    </row>
    <row r="417" spans="3:12" s="53" customFormat="1" ht="27" customHeight="1">
      <c r="C417" s="46" t="s">
        <v>1422</v>
      </c>
      <c r="D417" s="47" t="s">
        <v>1152</v>
      </c>
      <c r="E417" s="48" t="s">
        <v>351</v>
      </c>
      <c r="F417" s="48" t="s">
        <v>378</v>
      </c>
      <c r="G417" s="49">
        <v>1</v>
      </c>
      <c r="H417" s="50">
        <v>0</v>
      </c>
      <c r="I417" s="50">
        <v>0</v>
      </c>
      <c r="J417" s="50">
        <v>0</v>
      </c>
      <c r="K417" s="50">
        <f t="shared" si="16"/>
        <v>0</v>
      </c>
      <c r="L417" s="52">
        <f t="shared" si="17"/>
        <v>0</v>
      </c>
    </row>
    <row r="418" spans="3:12" s="53" customFormat="1" ht="27" customHeight="1">
      <c r="C418" s="46" t="s">
        <v>1423</v>
      </c>
      <c r="D418" s="47" t="s">
        <v>1402</v>
      </c>
      <c r="E418" s="48" t="s">
        <v>2119</v>
      </c>
      <c r="F418" s="48" t="s">
        <v>378</v>
      </c>
      <c r="G418" s="49">
        <v>1</v>
      </c>
      <c r="H418" s="50">
        <v>0</v>
      </c>
      <c r="I418" s="50">
        <v>0</v>
      </c>
      <c r="J418" s="50">
        <v>0</v>
      </c>
      <c r="K418" s="50">
        <f t="shared" si="16"/>
        <v>0</v>
      </c>
      <c r="L418" s="52">
        <f t="shared" si="17"/>
        <v>0</v>
      </c>
    </row>
    <row r="419" spans="3:12" s="53" customFormat="1" ht="27" customHeight="1">
      <c r="C419" s="46" t="s">
        <v>1424</v>
      </c>
      <c r="D419" s="47" t="s">
        <v>1403</v>
      </c>
      <c r="E419" s="48" t="s">
        <v>2119</v>
      </c>
      <c r="F419" s="48" t="s">
        <v>378</v>
      </c>
      <c r="G419" s="49">
        <v>1</v>
      </c>
      <c r="H419" s="50">
        <v>0</v>
      </c>
      <c r="I419" s="50">
        <v>0</v>
      </c>
      <c r="J419" s="50">
        <v>0</v>
      </c>
      <c r="K419" s="50">
        <f t="shared" si="16"/>
        <v>0</v>
      </c>
      <c r="L419" s="52">
        <f t="shared" si="17"/>
        <v>0</v>
      </c>
    </row>
    <row r="420" spans="3:12" s="53" customFormat="1" ht="27" customHeight="1">
      <c r="C420" s="46" t="s">
        <v>1425</v>
      </c>
      <c r="D420" s="47" t="s">
        <v>1404</v>
      </c>
      <c r="E420" s="136" t="s">
        <v>2118</v>
      </c>
      <c r="F420" s="48" t="s">
        <v>378</v>
      </c>
      <c r="G420" s="49">
        <v>1</v>
      </c>
      <c r="H420" s="50">
        <v>0</v>
      </c>
      <c r="I420" s="50">
        <v>0</v>
      </c>
      <c r="J420" s="50">
        <v>0</v>
      </c>
      <c r="K420" s="50">
        <f t="shared" si="16"/>
        <v>0</v>
      </c>
      <c r="L420" s="52">
        <f t="shared" si="17"/>
        <v>0</v>
      </c>
    </row>
    <row r="421" spans="3:12" s="53" customFormat="1" ht="27" customHeight="1">
      <c r="C421" s="46" t="s">
        <v>1426</v>
      </c>
      <c r="D421" s="47" t="s">
        <v>1405</v>
      </c>
      <c r="E421" s="48" t="s">
        <v>351</v>
      </c>
      <c r="F421" s="48" t="s">
        <v>378</v>
      </c>
      <c r="G421" s="49">
        <v>5</v>
      </c>
      <c r="H421" s="50">
        <v>0</v>
      </c>
      <c r="I421" s="50">
        <v>0</v>
      </c>
      <c r="J421" s="50">
        <v>0</v>
      </c>
      <c r="K421" s="50">
        <f t="shared" si="16"/>
        <v>0</v>
      </c>
      <c r="L421" s="52">
        <f t="shared" si="17"/>
        <v>0</v>
      </c>
    </row>
    <row r="422" spans="3:12" s="53" customFormat="1" ht="27" customHeight="1">
      <c r="C422" s="46" t="s">
        <v>1427</v>
      </c>
      <c r="D422" s="47" t="s">
        <v>1406</v>
      </c>
      <c r="E422" s="48" t="s">
        <v>351</v>
      </c>
      <c r="F422" s="48" t="s">
        <v>378</v>
      </c>
      <c r="G422" s="49">
        <v>1</v>
      </c>
      <c r="H422" s="50">
        <v>0</v>
      </c>
      <c r="I422" s="50">
        <v>0</v>
      </c>
      <c r="J422" s="50">
        <v>0</v>
      </c>
      <c r="K422" s="50">
        <f t="shared" si="16"/>
        <v>0</v>
      </c>
      <c r="L422" s="52">
        <f t="shared" si="17"/>
        <v>0</v>
      </c>
    </row>
    <row r="423" spans="3:12" s="53" customFormat="1" ht="27" customHeight="1">
      <c r="C423" s="46" t="s">
        <v>1428</v>
      </c>
      <c r="D423" s="47" t="s">
        <v>1407</v>
      </c>
      <c r="E423" s="48" t="s">
        <v>351</v>
      </c>
      <c r="F423" s="48" t="s">
        <v>378</v>
      </c>
      <c r="G423" s="49">
        <v>3</v>
      </c>
      <c r="H423" s="50">
        <v>0</v>
      </c>
      <c r="I423" s="50">
        <v>0</v>
      </c>
      <c r="J423" s="50">
        <v>0</v>
      </c>
      <c r="K423" s="50">
        <f t="shared" si="16"/>
        <v>0</v>
      </c>
      <c r="L423" s="52">
        <f t="shared" si="17"/>
        <v>0</v>
      </c>
    </row>
    <row r="424" spans="3:12" s="53" customFormat="1" ht="27" customHeight="1">
      <c r="C424" s="46" t="s">
        <v>1429</v>
      </c>
      <c r="D424" s="47" t="s">
        <v>1408</v>
      </c>
      <c r="E424" s="48" t="s">
        <v>351</v>
      </c>
      <c r="F424" s="48" t="s">
        <v>378</v>
      </c>
      <c r="G424" s="49">
        <v>4</v>
      </c>
      <c r="H424" s="50">
        <v>0</v>
      </c>
      <c r="I424" s="50">
        <v>0</v>
      </c>
      <c r="J424" s="50">
        <v>0</v>
      </c>
      <c r="K424" s="50">
        <f t="shared" si="16"/>
        <v>0</v>
      </c>
      <c r="L424" s="52">
        <f t="shared" si="17"/>
        <v>0</v>
      </c>
    </row>
    <row r="425" spans="3:12" s="53" customFormat="1" ht="27" customHeight="1">
      <c r="C425" s="46" t="s">
        <v>1430</v>
      </c>
      <c r="D425" s="47" t="s">
        <v>1409</v>
      </c>
      <c r="E425" s="48" t="s">
        <v>351</v>
      </c>
      <c r="F425" s="48" t="s">
        <v>378</v>
      </c>
      <c r="G425" s="49">
        <v>1</v>
      </c>
      <c r="H425" s="50">
        <v>0</v>
      </c>
      <c r="I425" s="50">
        <v>0</v>
      </c>
      <c r="J425" s="50">
        <v>0</v>
      </c>
      <c r="K425" s="50">
        <f t="shared" si="16"/>
        <v>0</v>
      </c>
      <c r="L425" s="52">
        <f t="shared" si="17"/>
        <v>0</v>
      </c>
    </row>
    <row r="426" spans="3:12" s="53" customFormat="1" ht="27" customHeight="1">
      <c r="C426" s="46" t="s">
        <v>1431</v>
      </c>
      <c r="D426" s="47" t="s">
        <v>1410</v>
      </c>
      <c r="E426" s="48" t="s">
        <v>351</v>
      </c>
      <c r="F426" s="48" t="s">
        <v>378</v>
      </c>
      <c r="G426" s="49">
        <v>14</v>
      </c>
      <c r="H426" s="50">
        <v>0</v>
      </c>
      <c r="I426" s="50">
        <v>0</v>
      </c>
      <c r="J426" s="50">
        <v>0</v>
      </c>
      <c r="K426" s="50">
        <f t="shared" si="16"/>
        <v>0</v>
      </c>
      <c r="L426" s="52">
        <f t="shared" si="17"/>
        <v>0</v>
      </c>
    </row>
    <row r="427" spans="3:12" s="53" customFormat="1" ht="27" customHeight="1">
      <c r="C427" s="46" t="s">
        <v>1432</v>
      </c>
      <c r="D427" s="47" t="s">
        <v>1027</v>
      </c>
      <c r="E427" s="48" t="s">
        <v>351</v>
      </c>
      <c r="F427" s="48" t="s">
        <v>378</v>
      </c>
      <c r="G427" s="49">
        <v>1</v>
      </c>
      <c r="H427" s="50">
        <v>0</v>
      </c>
      <c r="I427" s="50">
        <v>0</v>
      </c>
      <c r="J427" s="50">
        <v>0</v>
      </c>
      <c r="K427" s="50">
        <f t="shared" si="16"/>
        <v>0</v>
      </c>
      <c r="L427" s="52">
        <f t="shared" si="17"/>
        <v>0</v>
      </c>
    </row>
    <row r="428" spans="3:12" s="53" customFormat="1" ht="27" customHeight="1">
      <c r="C428" s="46" t="s">
        <v>1433</v>
      </c>
      <c r="D428" s="47" t="s">
        <v>1028</v>
      </c>
      <c r="E428" s="48" t="s">
        <v>351</v>
      </c>
      <c r="F428" s="48" t="s">
        <v>378</v>
      </c>
      <c r="G428" s="49">
        <v>13</v>
      </c>
      <c r="H428" s="50">
        <v>0</v>
      </c>
      <c r="I428" s="50">
        <v>0</v>
      </c>
      <c r="J428" s="50">
        <v>0</v>
      </c>
      <c r="K428" s="50">
        <f t="shared" si="16"/>
        <v>0</v>
      </c>
      <c r="L428" s="52">
        <f t="shared" si="17"/>
        <v>0</v>
      </c>
    </row>
    <row r="429" spans="3:12" s="53" customFormat="1" ht="27" customHeight="1">
      <c r="C429" s="46" t="s">
        <v>1434</v>
      </c>
      <c r="D429" s="47" t="s">
        <v>1033</v>
      </c>
      <c r="E429" s="48" t="s">
        <v>1042</v>
      </c>
      <c r="F429" s="48" t="s">
        <v>378</v>
      </c>
      <c r="G429" s="49">
        <v>14</v>
      </c>
      <c r="H429" s="50">
        <v>0</v>
      </c>
      <c r="I429" s="50">
        <v>0</v>
      </c>
      <c r="J429" s="50">
        <v>0</v>
      </c>
      <c r="K429" s="50">
        <f t="shared" si="16"/>
        <v>0</v>
      </c>
      <c r="L429" s="52">
        <f t="shared" si="17"/>
        <v>0</v>
      </c>
    </row>
    <row r="430" spans="3:12" s="53" customFormat="1" ht="27" customHeight="1">
      <c r="C430" s="46" t="s">
        <v>1435</v>
      </c>
      <c r="D430" s="47" t="s">
        <v>1018</v>
      </c>
      <c r="E430" s="48" t="s">
        <v>1865</v>
      </c>
      <c r="F430" s="48" t="s">
        <v>378</v>
      </c>
      <c r="G430" s="49">
        <v>28</v>
      </c>
      <c r="H430" s="50">
        <v>0</v>
      </c>
      <c r="I430" s="50">
        <v>0</v>
      </c>
      <c r="J430" s="50">
        <v>0</v>
      </c>
      <c r="K430" s="50">
        <f t="shared" si="16"/>
        <v>0</v>
      </c>
      <c r="L430" s="52">
        <f t="shared" si="17"/>
        <v>0</v>
      </c>
    </row>
    <row r="431" spans="3:12" s="53" customFormat="1" ht="27" customHeight="1">
      <c r="C431" s="46" t="s">
        <v>1436</v>
      </c>
      <c r="D431" s="47" t="s">
        <v>1038</v>
      </c>
      <c r="E431" s="136" t="s">
        <v>2124</v>
      </c>
      <c r="F431" s="48" t="s">
        <v>26</v>
      </c>
      <c r="G431" s="49">
        <v>20</v>
      </c>
      <c r="H431" s="50">
        <v>0</v>
      </c>
      <c r="I431" s="50">
        <v>0</v>
      </c>
      <c r="J431" s="50">
        <v>0</v>
      </c>
      <c r="K431" s="50">
        <f t="shared" si="16"/>
        <v>0</v>
      </c>
      <c r="L431" s="52">
        <f t="shared" si="17"/>
        <v>0</v>
      </c>
    </row>
    <row r="432" spans="3:12" s="53" customFormat="1" ht="27" customHeight="1">
      <c r="C432" s="46" t="s">
        <v>1437</v>
      </c>
      <c r="D432" s="47" t="s">
        <v>1039</v>
      </c>
      <c r="E432" s="136" t="s">
        <v>2124</v>
      </c>
      <c r="F432" s="48" t="s">
        <v>26</v>
      </c>
      <c r="G432" s="49">
        <v>64</v>
      </c>
      <c r="H432" s="50">
        <v>0</v>
      </c>
      <c r="I432" s="50">
        <v>0</v>
      </c>
      <c r="J432" s="50">
        <v>0</v>
      </c>
      <c r="K432" s="50">
        <f t="shared" si="16"/>
        <v>0</v>
      </c>
      <c r="L432" s="52">
        <f t="shared" si="17"/>
        <v>0</v>
      </c>
    </row>
    <row r="433" spans="3:12" s="53" customFormat="1" ht="27" customHeight="1">
      <c r="C433" s="46" t="s">
        <v>1438</v>
      </c>
      <c r="D433" s="47" t="s">
        <v>1040</v>
      </c>
      <c r="E433" s="136" t="s">
        <v>2124</v>
      </c>
      <c r="F433" s="48" t="s">
        <v>26</v>
      </c>
      <c r="G433" s="49">
        <v>2</v>
      </c>
      <c r="H433" s="50">
        <v>0</v>
      </c>
      <c r="I433" s="50">
        <v>0</v>
      </c>
      <c r="J433" s="50">
        <v>0</v>
      </c>
      <c r="K433" s="50">
        <f t="shared" si="16"/>
        <v>0</v>
      </c>
      <c r="L433" s="52">
        <f t="shared" si="17"/>
        <v>0</v>
      </c>
    </row>
    <row r="434" spans="3:12" s="53" customFormat="1" ht="27" customHeight="1">
      <c r="C434" s="46" t="s">
        <v>2235</v>
      </c>
      <c r="D434" s="47" t="s">
        <v>2136</v>
      </c>
      <c r="E434" s="48" t="s">
        <v>2172</v>
      </c>
      <c r="F434" s="48" t="s">
        <v>26</v>
      </c>
      <c r="G434" s="49">
        <v>1</v>
      </c>
      <c r="H434" s="50">
        <v>0</v>
      </c>
      <c r="I434" s="50">
        <v>0</v>
      </c>
      <c r="J434" s="50">
        <v>0</v>
      </c>
      <c r="K434" s="50">
        <f t="shared" si="16"/>
        <v>0</v>
      </c>
      <c r="L434" s="52">
        <f t="shared" si="17"/>
        <v>0</v>
      </c>
    </row>
    <row r="435" spans="3:12" s="53" customFormat="1" ht="27" customHeight="1">
      <c r="C435" s="46"/>
      <c r="D435" s="47"/>
      <c r="E435" s="48"/>
      <c r="F435" s="48"/>
      <c r="G435" s="49"/>
      <c r="H435" s="50"/>
      <c r="I435" s="50"/>
      <c r="J435" s="50"/>
      <c r="K435" s="50"/>
      <c r="L435" s="52"/>
    </row>
    <row r="436" spans="3:12" s="53" customFormat="1" ht="27" customHeight="1">
      <c r="C436" s="207" t="s">
        <v>1439</v>
      </c>
      <c r="D436" s="159" t="s">
        <v>2267</v>
      </c>
      <c r="E436" s="48"/>
      <c r="F436" s="48"/>
      <c r="G436" s="49"/>
      <c r="H436" s="50"/>
      <c r="I436" s="50"/>
      <c r="J436" s="50"/>
      <c r="K436" s="50"/>
      <c r="L436" s="52"/>
    </row>
    <row r="437" spans="3:12" s="53" customFormat="1" ht="27" customHeight="1">
      <c r="C437" s="46"/>
      <c r="D437" s="47"/>
      <c r="E437" s="48"/>
      <c r="F437" s="48"/>
      <c r="G437" s="49"/>
      <c r="H437" s="50"/>
      <c r="I437" s="50"/>
      <c r="J437" s="50"/>
      <c r="K437" s="50"/>
      <c r="L437" s="52"/>
    </row>
    <row r="438" spans="3:12" s="53" customFormat="1" ht="27" customHeight="1">
      <c r="C438" s="46" t="s">
        <v>1443</v>
      </c>
      <c r="D438" s="47" t="s">
        <v>1068</v>
      </c>
      <c r="E438" s="48" t="s">
        <v>351</v>
      </c>
      <c r="F438" s="48" t="s">
        <v>378</v>
      </c>
      <c r="G438" s="49">
        <v>4</v>
      </c>
      <c r="H438" s="50">
        <v>0</v>
      </c>
      <c r="I438" s="50">
        <v>0</v>
      </c>
      <c r="J438" s="50">
        <v>0</v>
      </c>
      <c r="K438" s="50">
        <f t="shared" si="16"/>
        <v>0</v>
      </c>
      <c r="L438" s="52">
        <f t="shared" si="17"/>
        <v>0</v>
      </c>
    </row>
    <row r="439" spans="3:12" s="53" customFormat="1" ht="27" customHeight="1">
      <c r="C439" s="46" t="s">
        <v>1444</v>
      </c>
      <c r="D439" s="47" t="s">
        <v>1018</v>
      </c>
      <c r="E439" s="48" t="s">
        <v>1865</v>
      </c>
      <c r="F439" s="48" t="s">
        <v>378</v>
      </c>
      <c r="G439" s="49">
        <v>3</v>
      </c>
      <c r="H439" s="50">
        <v>0</v>
      </c>
      <c r="I439" s="50">
        <v>0</v>
      </c>
      <c r="J439" s="50">
        <v>0</v>
      </c>
      <c r="K439" s="50">
        <f t="shared" si="16"/>
        <v>0</v>
      </c>
      <c r="L439" s="52">
        <f t="shared" si="17"/>
        <v>0</v>
      </c>
    </row>
    <row r="440" spans="3:12" s="53" customFormat="1" ht="27" customHeight="1">
      <c r="C440" s="46" t="s">
        <v>1445</v>
      </c>
      <c r="D440" s="47" t="s">
        <v>1019</v>
      </c>
      <c r="E440" s="48" t="s">
        <v>351</v>
      </c>
      <c r="F440" s="48" t="s">
        <v>378</v>
      </c>
      <c r="G440" s="49">
        <v>3</v>
      </c>
      <c r="H440" s="50">
        <v>0</v>
      </c>
      <c r="I440" s="50">
        <v>0</v>
      </c>
      <c r="J440" s="50">
        <v>0</v>
      </c>
      <c r="K440" s="50">
        <f t="shared" si="16"/>
        <v>0</v>
      </c>
      <c r="L440" s="52">
        <f t="shared" si="17"/>
        <v>0</v>
      </c>
    </row>
    <row r="441" spans="3:12" s="53" customFormat="1" ht="27" customHeight="1">
      <c r="C441" s="46" t="s">
        <v>1446</v>
      </c>
      <c r="D441" s="47" t="s">
        <v>1400</v>
      </c>
      <c r="E441" s="48" t="s">
        <v>2126</v>
      </c>
      <c r="F441" s="48" t="s">
        <v>378</v>
      </c>
      <c r="G441" s="49">
        <v>1</v>
      </c>
      <c r="H441" s="50">
        <v>0</v>
      </c>
      <c r="I441" s="50">
        <v>0</v>
      </c>
      <c r="J441" s="50">
        <v>0</v>
      </c>
      <c r="K441" s="50">
        <f t="shared" si="16"/>
        <v>0</v>
      </c>
      <c r="L441" s="52">
        <f t="shared" si="17"/>
        <v>0</v>
      </c>
    </row>
    <row r="442" spans="3:12" s="53" customFormat="1" ht="27" customHeight="1">
      <c r="C442" s="46" t="s">
        <v>1447</v>
      </c>
      <c r="D442" s="47" t="s">
        <v>1401</v>
      </c>
      <c r="E442" s="48" t="s">
        <v>2126</v>
      </c>
      <c r="F442" s="48" t="s">
        <v>378</v>
      </c>
      <c r="G442" s="49">
        <v>3</v>
      </c>
      <c r="H442" s="50">
        <v>0</v>
      </c>
      <c r="I442" s="50">
        <v>0</v>
      </c>
      <c r="J442" s="50">
        <v>0</v>
      </c>
      <c r="K442" s="50">
        <f t="shared" si="16"/>
        <v>0</v>
      </c>
      <c r="L442" s="52">
        <f t="shared" si="17"/>
        <v>0</v>
      </c>
    </row>
    <row r="443" spans="3:12" s="53" customFormat="1" ht="27" customHeight="1">
      <c r="C443" s="46" t="s">
        <v>1448</v>
      </c>
      <c r="D443" s="47" t="s">
        <v>1022</v>
      </c>
      <c r="E443" s="48" t="s">
        <v>2125</v>
      </c>
      <c r="F443" s="48" t="s">
        <v>378</v>
      </c>
      <c r="G443" s="49">
        <v>1</v>
      </c>
      <c r="H443" s="50">
        <v>0</v>
      </c>
      <c r="I443" s="50">
        <v>0</v>
      </c>
      <c r="J443" s="50">
        <v>0</v>
      </c>
      <c r="K443" s="50">
        <f t="shared" si="16"/>
        <v>0</v>
      </c>
      <c r="L443" s="52">
        <f t="shared" si="17"/>
        <v>0</v>
      </c>
    </row>
    <row r="444" spans="3:12" s="53" customFormat="1" ht="27" customHeight="1">
      <c r="C444" s="46" t="s">
        <v>1449</v>
      </c>
      <c r="D444" s="47" t="s">
        <v>1440</v>
      </c>
      <c r="E444" s="48" t="s">
        <v>351</v>
      </c>
      <c r="F444" s="48" t="s">
        <v>378</v>
      </c>
      <c r="G444" s="49">
        <v>2</v>
      </c>
      <c r="H444" s="50">
        <v>0</v>
      </c>
      <c r="I444" s="50">
        <v>0</v>
      </c>
      <c r="J444" s="50">
        <v>0</v>
      </c>
      <c r="K444" s="50">
        <f t="shared" si="16"/>
        <v>0</v>
      </c>
      <c r="L444" s="52">
        <f t="shared" si="17"/>
        <v>0</v>
      </c>
    </row>
    <row r="445" spans="3:12" s="53" customFormat="1" ht="27" customHeight="1">
      <c r="C445" s="46" t="s">
        <v>1450</v>
      </c>
      <c r="D445" s="47" t="s">
        <v>1441</v>
      </c>
      <c r="E445" s="48" t="s">
        <v>351</v>
      </c>
      <c r="F445" s="48" t="s">
        <v>378</v>
      </c>
      <c r="G445" s="49">
        <v>2</v>
      </c>
      <c r="H445" s="50">
        <v>0</v>
      </c>
      <c r="I445" s="50">
        <v>0</v>
      </c>
      <c r="J445" s="50">
        <v>0</v>
      </c>
      <c r="K445" s="50">
        <f t="shared" si="16"/>
        <v>0</v>
      </c>
      <c r="L445" s="52">
        <f t="shared" si="17"/>
        <v>0</v>
      </c>
    </row>
    <row r="446" spans="3:12" s="53" customFormat="1" ht="27" customHeight="1">
      <c r="C446" s="46" t="s">
        <v>1451</v>
      </c>
      <c r="D446" s="47" t="s">
        <v>1442</v>
      </c>
      <c r="E446" s="48" t="s">
        <v>1042</v>
      </c>
      <c r="F446" s="48" t="s">
        <v>378</v>
      </c>
      <c r="G446" s="49">
        <v>1</v>
      </c>
      <c r="H446" s="50">
        <v>0</v>
      </c>
      <c r="I446" s="50">
        <v>0</v>
      </c>
      <c r="J446" s="50">
        <v>0</v>
      </c>
      <c r="K446" s="50">
        <f t="shared" si="16"/>
        <v>0</v>
      </c>
      <c r="L446" s="52">
        <f t="shared" si="17"/>
        <v>0</v>
      </c>
    </row>
    <row r="447" spans="3:12" s="53" customFormat="1" ht="27" customHeight="1">
      <c r="C447" s="46" t="s">
        <v>1452</v>
      </c>
      <c r="D447" s="47" t="s">
        <v>2230</v>
      </c>
      <c r="E447" s="48" t="s">
        <v>351</v>
      </c>
      <c r="F447" s="48" t="s">
        <v>378</v>
      </c>
      <c r="G447" s="49">
        <v>1</v>
      </c>
      <c r="H447" s="50">
        <v>0</v>
      </c>
      <c r="I447" s="50">
        <v>0</v>
      </c>
      <c r="J447" s="50">
        <v>0</v>
      </c>
      <c r="K447" s="50">
        <f t="shared" si="16"/>
        <v>0</v>
      </c>
      <c r="L447" s="52">
        <f t="shared" si="17"/>
        <v>0</v>
      </c>
    </row>
    <row r="448" spans="3:12" s="53" customFormat="1" ht="27" customHeight="1">
      <c r="C448" s="46" t="s">
        <v>1453</v>
      </c>
      <c r="D448" s="47" t="s">
        <v>1089</v>
      </c>
      <c r="E448" s="48" t="s">
        <v>351</v>
      </c>
      <c r="F448" s="48" t="s">
        <v>378</v>
      </c>
      <c r="G448" s="49">
        <v>4</v>
      </c>
      <c r="H448" s="50">
        <v>0</v>
      </c>
      <c r="I448" s="50">
        <v>0</v>
      </c>
      <c r="J448" s="50">
        <v>0</v>
      </c>
      <c r="K448" s="50">
        <f t="shared" si="16"/>
        <v>0</v>
      </c>
      <c r="L448" s="52">
        <f t="shared" si="17"/>
        <v>0</v>
      </c>
    </row>
    <row r="449" spans="3:12" s="53" customFormat="1" ht="27" customHeight="1">
      <c r="C449" s="46" t="s">
        <v>1454</v>
      </c>
      <c r="D449" s="47" t="s">
        <v>1034</v>
      </c>
      <c r="E449" s="48" t="s">
        <v>351</v>
      </c>
      <c r="F449" s="48" t="s">
        <v>378</v>
      </c>
      <c r="G449" s="49">
        <v>6</v>
      </c>
      <c r="H449" s="50">
        <v>0</v>
      </c>
      <c r="I449" s="50">
        <v>0</v>
      </c>
      <c r="J449" s="50">
        <v>0</v>
      </c>
      <c r="K449" s="50">
        <f t="shared" si="16"/>
        <v>0</v>
      </c>
      <c r="L449" s="52">
        <f t="shared" si="17"/>
        <v>0</v>
      </c>
    </row>
    <row r="450" spans="3:12" s="53" customFormat="1" ht="27" customHeight="1">
      <c r="C450" s="46" t="s">
        <v>1455</v>
      </c>
      <c r="D450" s="47" t="s">
        <v>1024</v>
      </c>
      <c r="E450" s="48" t="s">
        <v>351</v>
      </c>
      <c r="F450" s="48" t="s">
        <v>378</v>
      </c>
      <c r="G450" s="49">
        <v>2</v>
      </c>
      <c r="H450" s="50">
        <v>0</v>
      </c>
      <c r="I450" s="50">
        <v>0</v>
      </c>
      <c r="J450" s="50">
        <v>0</v>
      </c>
      <c r="K450" s="50">
        <f t="shared" ref="K450:K511" si="18">+H450+I450+J450</f>
        <v>0</v>
      </c>
      <c r="L450" s="52">
        <f t="shared" ref="L450:L511" si="19">+G450*K450</f>
        <v>0</v>
      </c>
    </row>
    <row r="451" spans="3:12" s="53" customFormat="1" ht="27" customHeight="1">
      <c r="C451" s="46" t="s">
        <v>1456</v>
      </c>
      <c r="D451" s="47" t="s">
        <v>1037</v>
      </c>
      <c r="E451" s="136" t="s">
        <v>2124</v>
      </c>
      <c r="F451" s="48" t="s">
        <v>26</v>
      </c>
      <c r="G451" s="49">
        <v>12</v>
      </c>
      <c r="H451" s="50">
        <v>0</v>
      </c>
      <c r="I451" s="50">
        <v>0</v>
      </c>
      <c r="J451" s="50">
        <v>0</v>
      </c>
      <c r="K451" s="50">
        <f t="shared" si="18"/>
        <v>0</v>
      </c>
      <c r="L451" s="52">
        <f t="shared" si="19"/>
        <v>0</v>
      </c>
    </row>
    <row r="452" spans="3:12" s="53" customFormat="1" ht="27" customHeight="1">
      <c r="C452" s="46" t="s">
        <v>1457</v>
      </c>
      <c r="D452" s="47" t="s">
        <v>1038</v>
      </c>
      <c r="E452" s="136" t="s">
        <v>2124</v>
      </c>
      <c r="F452" s="48" t="s">
        <v>26</v>
      </c>
      <c r="G452" s="49">
        <v>22</v>
      </c>
      <c r="H452" s="50">
        <v>0</v>
      </c>
      <c r="I452" s="50">
        <v>0</v>
      </c>
      <c r="J452" s="50">
        <v>0</v>
      </c>
      <c r="K452" s="50">
        <f t="shared" si="18"/>
        <v>0</v>
      </c>
      <c r="L452" s="52">
        <f t="shared" si="19"/>
        <v>0</v>
      </c>
    </row>
    <row r="453" spans="3:12" s="53" customFormat="1" ht="27" customHeight="1">
      <c r="C453" s="46" t="s">
        <v>1458</v>
      </c>
      <c r="D453" s="47" t="s">
        <v>1039</v>
      </c>
      <c r="E453" s="136" t="s">
        <v>2124</v>
      </c>
      <c r="F453" s="48" t="s">
        <v>26</v>
      </c>
      <c r="G453" s="49">
        <v>2</v>
      </c>
      <c r="H453" s="50">
        <v>0</v>
      </c>
      <c r="I453" s="50">
        <v>0</v>
      </c>
      <c r="J453" s="50">
        <v>0</v>
      </c>
      <c r="K453" s="50">
        <f t="shared" si="18"/>
        <v>0</v>
      </c>
      <c r="L453" s="52">
        <f t="shared" si="19"/>
        <v>0</v>
      </c>
    </row>
    <row r="454" spans="3:12" s="53" customFormat="1" ht="27" customHeight="1">
      <c r="C454" s="46" t="s">
        <v>1459</v>
      </c>
      <c r="D454" s="47" t="s">
        <v>1040</v>
      </c>
      <c r="E454" s="136" t="s">
        <v>2124</v>
      </c>
      <c r="F454" s="48" t="s">
        <v>26</v>
      </c>
      <c r="G454" s="49">
        <v>2</v>
      </c>
      <c r="H454" s="50">
        <v>0</v>
      </c>
      <c r="I454" s="50">
        <v>0</v>
      </c>
      <c r="J454" s="50">
        <v>0</v>
      </c>
      <c r="K454" s="50">
        <f t="shared" si="18"/>
        <v>0</v>
      </c>
      <c r="L454" s="52">
        <f t="shared" si="19"/>
        <v>0</v>
      </c>
    </row>
    <row r="455" spans="3:12" s="53" customFormat="1" ht="27" customHeight="1">
      <c r="C455" s="46" t="s">
        <v>1460</v>
      </c>
      <c r="D455" s="47" t="s">
        <v>2134</v>
      </c>
      <c r="E455" s="48" t="s">
        <v>2172</v>
      </c>
      <c r="F455" s="48" t="s">
        <v>26</v>
      </c>
      <c r="G455" s="49">
        <v>1</v>
      </c>
      <c r="H455" s="50">
        <v>0</v>
      </c>
      <c r="I455" s="50">
        <v>0</v>
      </c>
      <c r="J455" s="50">
        <v>0</v>
      </c>
      <c r="K455" s="50">
        <f t="shared" si="18"/>
        <v>0</v>
      </c>
      <c r="L455" s="52">
        <f t="shared" si="19"/>
        <v>0</v>
      </c>
    </row>
    <row r="456" spans="3:12" s="53" customFormat="1" ht="27" customHeight="1">
      <c r="C456" s="46"/>
      <c r="D456" s="47"/>
      <c r="E456" s="48"/>
      <c r="F456" s="48"/>
      <c r="G456" s="49"/>
      <c r="H456" s="50"/>
      <c r="I456" s="50"/>
      <c r="J456" s="50"/>
      <c r="K456" s="50"/>
      <c r="L456" s="52"/>
    </row>
    <row r="457" spans="3:12" s="53" customFormat="1" ht="27" customHeight="1">
      <c r="C457" s="207" t="s">
        <v>1461</v>
      </c>
      <c r="D457" s="159" t="s">
        <v>2268</v>
      </c>
      <c r="E457" s="48"/>
      <c r="F457" s="48"/>
      <c r="G457" s="49"/>
      <c r="H457" s="50"/>
      <c r="I457" s="50"/>
      <c r="J457" s="50"/>
      <c r="K457" s="50"/>
      <c r="L457" s="52"/>
    </row>
    <row r="458" spans="3:12" s="53" customFormat="1" ht="27" customHeight="1">
      <c r="C458" s="46"/>
      <c r="D458" s="47"/>
      <c r="E458" s="48"/>
      <c r="F458" s="48"/>
      <c r="G458" s="49"/>
      <c r="H458" s="50"/>
      <c r="I458" s="50"/>
      <c r="J458" s="50"/>
      <c r="K458" s="50"/>
      <c r="L458" s="52"/>
    </row>
    <row r="459" spans="3:12" s="53" customFormat="1" ht="27" customHeight="1">
      <c r="C459" s="46" t="s">
        <v>1462</v>
      </c>
      <c r="D459" s="47" t="s">
        <v>1089</v>
      </c>
      <c r="E459" s="48" t="s">
        <v>351</v>
      </c>
      <c r="F459" s="48" t="s">
        <v>378</v>
      </c>
      <c r="G459" s="49">
        <v>1</v>
      </c>
      <c r="H459" s="50">
        <v>0</v>
      </c>
      <c r="I459" s="50">
        <v>0</v>
      </c>
      <c r="J459" s="50">
        <v>0</v>
      </c>
      <c r="K459" s="50">
        <f t="shared" si="18"/>
        <v>0</v>
      </c>
      <c r="L459" s="52">
        <f t="shared" si="19"/>
        <v>0</v>
      </c>
    </row>
    <row r="460" spans="3:12" s="53" customFormat="1" ht="27" customHeight="1">
      <c r="C460" s="46" t="s">
        <v>1463</v>
      </c>
      <c r="D460" s="47" t="s">
        <v>1018</v>
      </c>
      <c r="E460" s="48" t="s">
        <v>1865</v>
      </c>
      <c r="F460" s="48" t="s">
        <v>378</v>
      </c>
      <c r="G460" s="49">
        <v>3</v>
      </c>
      <c r="H460" s="50">
        <v>0</v>
      </c>
      <c r="I460" s="50">
        <v>0</v>
      </c>
      <c r="J460" s="50">
        <v>0</v>
      </c>
      <c r="K460" s="50">
        <f t="shared" si="18"/>
        <v>0</v>
      </c>
      <c r="L460" s="52">
        <f t="shared" si="19"/>
        <v>0</v>
      </c>
    </row>
    <row r="461" spans="3:12" s="53" customFormat="1" ht="27" customHeight="1">
      <c r="C461" s="46" t="s">
        <v>1464</v>
      </c>
      <c r="D461" s="47" t="s">
        <v>1019</v>
      </c>
      <c r="E461" s="48" t="s">
        <v>351</v>
      </c>
      <c r="F461" s="48" t="s">
        <v>378</v>
      </c>
      <c r="G461" s="49">
        <v>3</v>
      </c>
      <c r="H461" s="50">
        <v>0</v>
      </c>
      <c r="I461" s="50">
        <v>0</v>
      </c>
      <c r="J461" s="50">
        <v>0</v>
      </c>
      <c r="K461" s="50">
        <f t="shared" si="18"/>
        <v>0</v>
      </c>
      <c r="L461" s="52">
        <f t="shared" si="19"/>
        <v>0</v>
      </c>
    </row>
    <row r="462" spans="3:12" s="53" customFormat="1" ht="27" customHeight="1">
      <c r="C462" s="46" t="s">
        <v>1465</v>
      </c>
      <c r="D462" s="47" t="s">
        <v>2231</v>
      </c>
      <c r="E462" s="48" t="s">
        <v>351</v>
      </c>
      <c r="F462" s="48" t="s">
        <v>378</v>
      </c>
      <c r="G462" s="49">
        <v>2</v>
      </c>
      <c r="H462" s="50">
        <v>0</v>
      </c>
      <c r="I462" s="50">
        <v>0</v>
      </c>
      <c r="J462" s="50">
        <v>0</v>
      </c>
      <c r="K462" s="50">
        <f t="shared" si="18"/>
        <v>0</v>
      </c>
      <c r="L462" s="52">
        <f t="shared" si="19"/>
        <v>0</v>
      </c>
    </row>
    <row r="463" spans="3:12" s="53" customFormat="1" ht="27" customHeight="1">
      <c r="C463" s="46" t="s">
        <v>1466</v>
      </c>
      <c r="D463" s="47" t="s">
        <v>1024</v>
      </c>
      <c r="E463" s="48" t="s">
        <v>351</v>
      </c>
      <c r="F463" s="48" t="s">
        <v>378</v>
      </c>
      <c r="G463" s="49">
        <v>7</v>
      </c>
      <c r="H463" s="50">
        <v>0</v>
      </c>
      <c r="I463" s="50">
        <v>0</v>
      </c>
      <c r="J463" s="50">
        <v>0</v>
      </c>
      <c r="K463" s="50">
        <f t="shared" si="18"/>
        <v>0</v>
      </c>
      <c r="L463" s="52">
        <f t="shared" si="19"/>
        <v>0</v>
      </c>
    </row>
    <row r="464" spans="3:12" s="53" customFormat="1" ht="27" customHeight="1">
      <c r="C464" s="46" t="s">
        <v>1467</v>
      </c>
      <c r="D464" s="47" t="s">
        <v>1038</v>
      </c>
      <c r="E464" s="136" t="s">
        <v>2124</v>
      </c>
      <c r="F464" s="48" t="s">
        <v>26</v>
      </c>
      <c r="G464" s="49">
        <v>4</v>
      </c>
      <c r="H464" s="50">
        <v>0</v>
      </c>
      <c r="I464" s="50">
        <v>0</v>
      </c>
      <c r="J464" s="50">
        <v>0</v>
      </c>
      <c r="K464" s="50">
        <f t="shared" si="18"/>
        <v>0</v>
      </c>
      <c r="L464" s="52">
        <f t="shared" si="19"/>
        <v>0</v>
      </c>
    </row>
    <row r="465" spans="3:12" s="53" customFormat="1" ht="27" customHeight="1">
      <c r="C465" s="46" t="s">
        <v>1468</v>
      </c>
      <c r="D465" s="47" t="s">
        <v>1039</v>
      </c>
      <c r="E465" s="136" t="s">
        <v>2124</v>
      </c>
      <c r="F465" s="48" t="s">
        <v>26</v>
      </c>
      <c r="G465" s="49">
        <v>7</v>
      </c>
      <c r="H465" s="50">
        <v>0</v>
      </c>
      <c r="I465" s="50">
        <v>0</v>
      </c>
      <c r="J465" s="50">
        <v>0</v>
      </c>
      <c r="K465" s="50">
        <f t="shared" si="18"/>
        <v>0</v>
      </c>
      <c r="L465" s="52">
        <f t="shared" si="19"/>
        <v>0</v>
      </c>
    </row>
    <row r="466" spans="3:12" s="53" customFormat="1" ht="27" customHeight="1">
      <c r="C466" s="46" t="s">
        <v>1469</v>
      </c>
      <c r="D466" s="47" t="s">
        <v>1040</v>
      </c>
      <c r="E466" s="136" t="s">
        <v>2124</v>
      </c>
      <c r="F466" s="48" t="s">
        <v>26</v>
      </c>
      <c r="G466" s="49">
        <v>2</v>
      </c>
      <c r="H466" s="50">
        <v>0</v>
      </c>
      <c r="I466" s="50">
        <v>0</v>
      </c>
      <c r="J466" s="50">
        <v>0</v>
      </c>
      <c r="K466" s="50">
        <f t="shared" si="18"/>
        <v>0</v>
      </c>
      <c r="L466" s="52">
        <f t="shared" si="19"/>
        <v>0</v>
      </c>
    </row>
    <row r="467" spans="3:12" s="53" customFormat="1" ht="27" customHeight="1">
      <c r="C467" s="46" t="s">
        <v>1470</v>
      </c>
      <c r="D467" s="47" t="s">
        <v>2137</v>
      </c>
      <c r="E467" s="48" t="s">
        <v>2172</v>
      </c>
      <c r="F467" s="48" t="s">
        <v>26</v>
      </c>
      <c r="G467" s="49">
        <v>1</v>
      </c>
      <c r="H467" s="50">
        <v>0</v>
      </c>
      <c r="I467" s="50">
        <v>0</v>
      </c>
      <c r="J467" s="50">
        <v>0</v>
      </c>
      <c r="K467" s="50">
        <f t="shared" si="18"/>
        <v>0</v>
      </c>
      <c r="L467" s="52">
        <f t="shared" si="19"/>
        <v>0</v>
      </c>
    </row>
    <row r="468" spans="3:12" s="53" customFormat="1" ht="27" customHeight="1">
      <c r="C468" s="46"/>
      <c r="D468" s="47"/>
      <c r="E468" s="48"/>
      <c r="F468" s="48"/>
      <c r="G468" s="49"/>
      <c r="H468" s="50"/>
      <c r="I468" s="50"/>
      <c r="J468" s="50"/>
      <c r="K468" s="50"/>
      <c r="L468" s="52"/>
    </row>
    <row r="469" spans="3:12" s="53" customFormat="1" ht="27" customHeight="1">
      <c r="C469" s="207" t="s">
        <v>1471</v>
      </c>
      <c r="D469" s="159" t="s">
        <v>2269</v>
      </c>
      <c r="E469" s="48"/>
      <c r="F469" s="48"/>
      <c r="G469" s="49"/>
      <c r="H469" s="50"/>
      <c r="I469" s="50"/>
      <c r="J469" s="50"/>
      <c r="K469" s="50"/>
      <c r="L469" s="52"/>
    </row>
    <row r="470" spans="3:12" s="53" customFormat="1" ht="27" customHeight="1">
      <c r="C470" s="46"/>
      <c r="D470" s="47"/>
      <c r="E470" s="48"/>
      <c r="F470" s="48"/>
      <c r="G470" s="49"/>
      <c r="H470" s="50"/>
      <c r="I470" s="50"/>
      <c r="J470" s="50"/>
      <c r="K470" s="50"/>
      <c r="L470" s="52"/>
    </row>
    <row r="471" spans="3:12" s="53" customFormat="1" ht="27" customHeight="1">
      <c r="C471" s="46" t="s">
        <v>1487</v>
      </c>
      <c r="D471" s="47" t="s">
        <v>2224</v>
      </c>
      <c r="E471" s="48" t="s">
        <v>351</v>
      </c>
      <c r="F471" s="48" t="s">
        <v>378</v>
      </c>
      <c r="G471" s="49">
        <v>2</v>
      </c>
      <c r="H471" s="50">
        <v>0</v>
      </c>
      <c r="I471" s="50">
        <v>0</v>
      </c>
      <c r="J471" s="50">
        <v>0</v>
      </c>
      <c r="K471" s="50">
        <f t="shared" si="18"/>
        <v>0</v>
      </c>
      <c r="L471" s="52">
        <f t="shared" si="19"/>
        <v>0</v>
      </c>
    </row>
    <row r="472" spans="3:12" s="53" customFormat="1" ht="27" customHeight="1">
      <c r="C472" s="46" t="s">
        <v>1241</v>
      </c>
      <c r="D472" s="47" t="s">
        <v>305</v>
      </c>
      <c r="E472" s="48" t="s">
        <v>351</v>
      </c>
      <c r="F472" s="48" t="s">
        <v>378</v>
      </c>
      <c r="G472" s="49">
        <v>2</v>
      </c>
      <c r="H472" s="50">
        <v>0</v>
      </c>
      <c r="I472" s="50">
        <v>0</v>
      </c>
      <c r="J472" s="50">
        <v>0</v>
      </c>
      <c r="K472" s="50">
        <f t="shared" si="18"/>
        <v>0</v>
      </c>
      <c r="L472" s="52">
        <f t="shared" si="19"/>
        <v>0</v>
      </c>
    </row>
    <row r="473" spans="3:12" s="53" customFormat="1" ht="27" customHeight="1">
      <c r="C473" s="46" t="s">
        <v>1488</v>
      </c>
      <c r="D473" s="47" t="s">
        <v>1182</v>
      </c>
      <c r="E473" s="48" t="s">
        <v>1188</v>
      </c>
      <c r="F473" s="48" t="s">
        <v>378</v>
      </c>
      <c r="G473" s="49">
        <v>2</v>
      </c>
      <c r="H473" s="50">
        <v>0</v>
      </c>
      <c r="I473" s="50">
        <v>0</v>
      </c>
      <c r="J473" s="50">
        <v>0</v>
      </c>
      <c r="K473" s="50">
        <f t="shared" si="18"/>
        <v>0</v>
      </c>
      <c r="L473" s="52">
        <f t="shared" si="19"/>
        <v>0</v>
      </c>
    </row>
    <row r="474" spans="3:12" s="53" customFormat="1" ht="27" customHeight="1">
      <c r="C474" s="46" t="s">
        <v>1489</v>
      </c>
      <c r="D474" s="47" t="s">
        <v>1473</v>
      </c>
      <c r="E474" s="48" t="s">
        <v>1188</v>
      </c>
      <c r="F474" s="48" t="s">
        <v>378</v>
      </c>
      <c r="G474" s="49">
        <v>2</v>
      </c>
      <c r="H474" s="50">
        <v>0</v>
      </c>
      <c r="I474" s="50">
        <v>0</v>
      </c>
      <c r="J474" s="50">
        <v>0</v>
      </c>
      <c r="K474" s="50">
        <f t="shared" si="18"/>
        <v>0</v>
      </c>
      <c r="L474" s="52">
        <f t="shared" si="19"/>
        <v>0</v>
      </c>
    </row>
    <row r="475" spans="3:12" s="53" customFormat="1" ht="27" customHeight="1">
      <c r="C475" s="46" t="s">
        <v>1490</v>
      </c>
      <c r="D475" s="47" t="s">
        <v>1018</v>
      </c>
      <c r="E475" s="48" t="s">
        <v>1865</v>
      </c>
      <c r="F475" s="48" t="s">
        <v>378</v>
      </c>
      <c r="G475" s="49">
        <v>9</v>
      </c>
      <c r="H475" s="50">
        <v>0</v>
      </c>
      <c r="I475" s="50">
        <v>0</v>
      </c>
      <c r="J475" s="50">
        <v>0</v>
      </c>
      <c r="K475" s="50">
        <f t="shared" si="18"/>
        <v>0</v>
      </c>
      <c r="L475" s="52">
        <f t="shared" si="19"/>
        <v>0</v>
      </c>
    </row>
    <row r="476" spans="3:12" s="53" customFormat="1" ht="27" customHeight="1">
      <c r="C476" s="46" t="s">
        <v>1491</v>
      </c>
      <c r="D476" s="47" t="s">
        <v>1019</v>
      </c>
      <c r="E476" s="48" t="s">
        <v>351</v>
      </c>
      <c r="F476" s="48" t="s">
        <v>378</v>
      </c>
      <c r="G476" s="49">
        <v>9</v>
      </c>
      <c r="H476" s="50">
        <v>0</v>
      </c>
      <c r="I476" s="50">
        <v>0</v>
      </c>
      <c r="J476" s="50">
        <v>0</v>
      </c>
      <c r="K476" s="50">
        <f t="shared" si="18"/>
        <v>0</v>
      </c>
      <c r="L476" s="52">
        <f t="shared" si="19"/>
        <v>0</v>
      </c>
    </row>
    <row r="477" spans="3:12" s="53" customFormat="1" ht="27" customHeight="1">
      <c r="C477" s="46" t="s">
        <v>1492</v>
      </c>
      <c r="D477" s="47" t="s">
        <v>1474</v>
      </c>
      <c r="E477" s="48" t="s">
        <v>1512</v>
      </c>
      <c r="F477" s="48" t="s">
        <v>378</v>
      </c>
      <c r="G477" s="49">
        <v>3</v>
      </c>
      <c r="H477" s="50">
        <v>0</v>
      </c>
      <c r="I477" s="50">
        <v>0</v>
      </c>
      <c r="J477" s="50">
        <v>0</v>
      </c>
      <c r="K477" s="50">
        <f t="shared" si="18"/>
        <v>0</v>
      </c>
      <c r="L477" s="52">
        <f t="shared" si="19"/>
        <v>0</v>
      </c>
    </row>
    <row r="478" spans="3:12" s="53" customFormat="1" ht="27" customHeight="1">
      <c r="C478" s="46" t="s">
        <v>1493</v>
      </c>
      <c r="D478" s="47" t="s">
        <v>1475</v>
      </c>
      <c r="E478" s="48" t="s">
        <v>1864</v>
      </c>
      <c r="F478" s="48" t="s">
        <v>378</v>
      </c>
      <c r="G478" s="49">
        <v>1</v>
      </c>
      <c r="H478" s="148"/>
      <c r="I478" s="50">
        <v>0</v>
      </c>
      <c r="J478" s="50">
        <v>0</v>
      </c>
      <c r="K478" s="50">
        <f t="shared" si="18"/>
        <v>0</v>
      </c>
      <c r="L478" s="52">
        <f t="shared" si="19"/>
        <v>0</v>
      </c>
    </row>
    <row r="479" spans="3:12" s="53" customFormat="1" ht="27" customHeight="1">
      <c r="C479" s="46" t="s">
        <v>1494</v>
      </c>
      <c r="D479" s="47" t="s">
        <v>1476</v>
      </c>
      <c r="E479" s="48" t="s">
        <v>1513</v>
      </c>
      <c r="F479" s="48" t="s">
        <v>378</v>
      </c>
      <c r="G479" s="49">
        <v>1</v>
      </c>
      <c r="H479" s="50">
        <v>0</v>
      </c>
      <c r="I479" s="50">
        <v>0</v>
      </c>
      <c r="J479" s="50">
        <v>0</v>
      </c>
      <c r="K479" s="50">
        <f t="shared" si="18"/>
        <v>0</v>
      </c>
      <c r="L479" s="52">
        <f t="shared" si="19"/>
        <v>0</v>
      </c>
    </row>
    <row r="480" spans="3:12" s="53" customFormat="1" ht="27" customHeight="1">
      <c r="C480" s="46" t="s">
        <v>1495</v>
      </c>
      <c r="D480" s="47" t="s">
        <v>1477</v>
      </c>
      <c r="E480" s="48" t="s">
        <v>1513</v>
      </c>
      <c r="F480" s="48" t="s">
        <v>378</v>
      </c>
      <c r="G480" s="49">
        <v>1</v>
      </c>
      <c r="H480" s="50">
        <v>0</v>
      </c>
      <c r="I480" s="50">
        <v>0</v>
      </c>
      <c r="J480" s="50">
        <v>0</v>
      </c>
      <c r="K480" s="50">
        <f t="shared" si="18"/>
        <v>0</v>
      </c>
      <c r="L480" s="52">
        <f t="shared" si="19"/>
        <v>0</v>
      </c>
    </row>
    <row r="481" spans="3:12" s="53" customFormat="1" ht="27" customHeight="1">
      <c r="C481" s="46" t="s">
        <v>1496</v>
      </c>
      <c r="D481" s="47" t="s">
        <v>1184</v>
      </c>
      <c r="E481" s="48" t="s">
        <v>354</v>
      </c>
      <c r="F481" s="48" t="s">
        <v>378</v>
      </c>
      <c r="G481" s="49">
        <v>1</v>
      </c>
      <c r="H481" s="50">
        <v>0</v>
      </c>
      <c r="I481" s="50">
        <v>0</v>
      </c>
      <c r="J481" s="50">
        <v>0</v>
      </c>
      <c r="K481" s="50">
        <f t="shared" si="18"/>
        <v>0</v>
      </c>
      <c r="L481" s="52">
        <f t="shared" si="19"/>
        <v>0</v>
      </c>
    </row>
    <row r="482" spans="3:12" s="53" customFormat="1" ht="27" customHeight="1">
      <c r="C482" s="46" t="s">
        <v>1497</v>
      </c>
      <c r="D482" s="47" t="s">
        <v>1185</v>
      </c>
      <c r="E482" s="48" t="s">
        <v>354</v>
      </c>
      <c r="F482" s="48" t="s">
        <v>378</v>
      </c>
      <c r="G482" s="49">
        <v>3</v>
      </c>
      <c r="H482" s="50">
        <v>0</v>
      </c>
      <c r="I482" s="50">
        <v>0</v>
      </c>
      <c r="J482" s="50">
        <v>0</v>
      </c>
      <c r="K482" s="50">
        <f t="shared" si="18"/>
        <v>0</v>
      </c>
      <c r="L482" s="52">
        <f t="shared" si="19"/>
        <v>0</v>
      </c>
    </row>
    <row r="483" spans="3:12" s="53" customFormat="1" ht="27" customHeight="1">
      <c r="C483" s="46" t="s">
        <v>1498</v>
      </c>
      <c r="D483" s="47" t="s">
        <v>1478</v>
      </c>
      <c r="E483" s="48" t="s">
        <v>2125</v>
      </c>
      <c r="F483" s="48" t="s">
        <v>378</v>
      </c>
      <c r="G483" s="49">
        <v>1</v>
      </c>
      <c r="H483" s="50">
        <v>0</v>
      </c>
      <c r="I483" s="50">
        <v>0</v>
      </c>
      <c r="J483" s="50">
        <v>0</v>
      </c>
      <c r="K483" s="50">
        <f t="shared" si="18"/>
        <v>0</v>
      </c>
      <c r="L483" s="52">
        <f t="shared" si="19"/>
        <v>0</v>
      </c>
    </row>
    <row r="484" spans="3:12" s="53" customFormat="1" ht="27" customHeight="1">
      <c r="C484" s="46" t="s">
        <v>1499</v>
      </c>
      <c r="D484" s="47" t="s">
        <v>1479</v>
      </c>
      <c r="E484" s="48" t="s">
        <v>351</v>
      </c>
      <c r="F484" s="48" t="s">
        <v>378</v>
      </c>
      <c r="G484" s="49">
        <v>1</v>
      </c>
      <c r="H484" s="50">
        <v>0</v>
      </c>
      <c r="I484" s="50">
        <v>0</v>
      </c>
      <c r="J484" s="50">
        <v>0</v>
      </c>
      <c r="K484" s="50">
        <f t="shared" si="18"/>
        <v>0</v>
      </c>
      <c r="L484" s="52">
        <f t="shared" si="19"/>
        <v>0</v>
      </c>
    </row>
    <row r="485" spans="3:12" s="53" customFormat="1" ht="27" customHeight="1">
      <c r="C485" s="46" t="s">
        <v>1500</v>
      </c>
      <c r="D485" s="47" t="s">
        <v>1480</v>
      </c>
      <c r="E485" s="48" t="s">
        <v>351</v>
      </c>
      <c r="F485" s="48" t="s">
        <v>378</v>
      </c>
      <c r="G485" s="49">
        <v>1</v>
      </c>
      <c r="H485" s="50">
        <v>0</v>
      </c>
      <c r="I485" s="50">
        <v>0</v>
      </c>
      <c r="J485" s="50">
        <v>0</v>
      </c>
      <c r="K485" s="50">
        <f t="shared" si="18"/>
        <v>0</v>
      </c>
      <c r="L485" s="52">
        <f t="shared" si="19"/>
        <v>0</v>
      </c>
    </row>
    <row r="486" spans="3:12" s="53" customFormat="1" ht="27" customHeight="1">
      <c r="C486" s="46" t="s">
        <v>1501</v>
      </c>
      <c r="D486" s="47" t="s">
        <v>1481</v>
      </c>
      <c r="E486" s="48" t="s">
        <v>351</v>
      </c>
      <c r="F486" s="48" t="s">
        <v>378</v>
      </c>
      <c r="G486" s="49">
        <v>3</v>
      </c>
      <c r="H486" s="50">
        <v>0</v>
      </c>
      <c r="I486" s="50">
        <v>0</v>
      </c>
      <c r="J486" s="50">
        <v>0</v>
      </c>
      <c r="K486" s="50">
        <f t="shared" si="18"/>
        <v>0</v>
      </c>
      <c r="L486" s="52">
        <f t="shared" si="19"/>
        <v>0</v>
      </c>
    </row>
    <row r="487" spans="3:12" s="53" customFormat="1" ht="27" customHeight="1">
      <c r="C487" s="46" t="s">
        <v>1502</v>
      </c>
      <c r="D487" s="47" t="s">
        <v>1482</v>
      </c>
      <c r="E487" s="48" t="s">
        <v>351</v>
      </c>
      <c r="F487" s="48" t="s">
        <v>378</v>
      </c>
      <c r="G487" s="49">
        <v>5</v>
      </c>
      <c r="H487" s="50">
        <v>0</v>
      </c>
      <c r="I487" s="50">
        <v>0</v>
      </c>
      <c r="J487" s="50">
        <v>0</v>
      </c>
      <c r="K487" s="50">
        <f t="shared" si="18"/>
        <v>0</v>
      </c>
      <c r="L487" s="52">
        <f t="shared" si="19"/>
        <v>0</v>
      </c>
    </row>
    <row r="488" spans="3:12" s="53" customFormat="1" ht="27" customHeight="1">
      <c r="C488" s="46" t="s">
        <v>1503</v>
      </c>
      <c r="D488" s="47" t="s">
        <v>1483</v>
      </c>
      <c r="E488" s="48" t="s">
        <v>351</v>
      </c>
      <c r="F488" s="48" t="s">
        <v>378</v>
      </c>
      <c r="G488" s="49">
        <v>3</v>
      </c>
      <c r="H488" s="50">
        <v>0</v>
      </c>
      <c r="I488" s="50">
        <v>0</v>
      </c>
      <c r="J488" s="50">
        <v>0</v>
      </c>
      <c r="K488" s="50">
        <f t="shared" si="18"/>
        <v>0</v>
      </c>
      <c r="L488" s="52">
        <f t="shared" si="19"/>
        <v>0</v>
      </c>
    </row>
    <row r="489" spans="3:12" s="53" customFormat="1" ht="27" customHeight="1">
      <c r="C489" s="46" t="s">
        <v>1504</v>
      </c>
      <c r="D489" s="47" t="s">
        <v>1025</v>
      </c>
      <c r="E489" s="48" t="s">
        <v>351</v>
      </c>
      <c r="F489" s="48" t="s">
        <v>378</v>
      </c>
      <c r="G489" s="49">
        <v>1</v>
      </c>
      <c r="H489" s="50">
        <v>0</v>
      </c>
      <c r="I489" s="50">
        <v>0</v>
      </c>
      <c r="J489" s="50">
        <v>0</v>
      </c>
      <c r="K489" s="50">
        <f t="shared" si="18"/>
        <v>0</v>
      </c>
      <c r="L489" s="52">
        <f t="shared" si="19"/>
        <v>0</v>
      </c>
    </row>
    <row r="490" spans="3:12" s="53" customFormat="1" ht="27" customHeight="1">
      <c r="C490" s="46" t="s">
        <v>1505</v>
      </c>
      <c r="D490" s="47" t="s">
        <v>1034</v>
      </c>
      <c r="E490" s="48" t="s">
        <v>351</v>
      </c>
      <c r="F490" s="48" t="s">
        <v>378</v>
      </c>
      <c r="G490" s="49">
        <v>3</v>
      </c>
      <c r="H490" s="50">
        <v>0</v>
      </c>
      <c r="I490" s="50">
        <v>0</v>
      </c>
      <c r="J490" s="50">
        <v>0</v>
      </c>
      <c r="K490" s="50">
        <f t="shared" si="18"/>
        <v>0</v>
      </c>
      <c r="L490" s="52">
        <f t="shared" si="19"/>
        <v>0</v>
      </c>
    </row>
    <row r="491" spans="3:12" s="53" customFormat="1" ht="27" customHeight="1">
      <c r="C491" s="46" t="s">
        <v>1506</v>
      </c>
      <c r="D491" s="47" t="s">
        <v>1484</v>
      </c>
      <c r="E491" s="48" t="s">
        <v>2119</v>
      </c>
      <c r="F491" s="48" t="s">
        <v>378</v>
      </c>
      <c r="G491" s="49">
        <v>3</v>
      </c>
      <c r="H491" s="50">
        <v>0</v>
      </c>
      <c r="I491" s="50">
        <v>0</v>
      </c>
      <c r="J491" s="50">
        <v>0</v>
      </c>
      <c r="K491" s="50">
        <f t="shared" si="18"/>
        <v>0</v>
      </c>
      <c r="L491" s="52">
        <f t="shared" si="19"/>
        <v>0</v>
      </c>
    </row>
    <row r="492" spans="3:12" s="53" customFormat="1" ht="27" customHeight="1">
      <c r="C492" s="46" t="s">
        <v>1507</v>
      </c>
      <c r="D492" s="47" t="s">
        <v>1485</v>
      </c>
      <c r="E492" s="48" t="s">
        <v>2119</v>
      </c>
      <c r="F492" s="48" t="s">
        <v>378</v>
      </c>
      <c r="G492" s="49">
        <v>3</v>
      </c>
      <c r="H492" s="50">
        <v>0</v>
      </c>
      <c r="I492" s="50">
        <v>0</v>
      </c>
      <c r="J492" s="50">
        <v>0</v>
      </c>
      <c r="K492" s="50">
        <f t="shared" si="18"/>
        <v>0</v>
      </c>
      <c r="L492" s="52">
        <f t="shared" si="19"/>
        <v>0</v>
      </c>
    </row>
    <row r="493" spans="3:12" s="53" customFormat="1" ht="27" customHeight="1">
      <c r="C493" s="46" t="s">
        <v>1508</v>
      </c>
      <c r="D493" s="47" t="s">
        <v>1152</v>
      </c>
      <c r="E493" s="48" t="s">
        <v>351</v>
      </c>
      <c r="F493" s="48" t="s">
        <v>378</v>
      </c>
      <c r="G493" s="49">
        <v>8</v>
      </c>
      <c r="H493" s="50">
        <v>0</v>
      </c>
      <c r="I493" s="50">
        <v>0</v>
      </c>
      <c r="J493" s="50">
        <v>0</v>
      </c>
      <c r="K493" s="50">
        <f t="shared" si="18"/>
        <v>0</v>
      </c>
      <c r="L493" s="52">
        <f t="shared" si="19"/>
        <v>0</v>
      </c>
    </row>
    <row r="494" spans="3:12" s="53" customFormat="1" ht="27" customHeight="1">
      <c r="C494" s="46" t="s">
        <v>1509</v>
      </c>
      <c r="D494" s="47" t="s">
        <v>1018</v>
      </c>
      <c r="E494" s="48" t="s">
        <v>1865</v>
      </c>
      <c r="F494" s="48" t="s">
        <v>378</v>
      </c>
      <c r="G494" s="49">
        <v>8</v>
      </c>
      <c r="H494" s="50">
        <v>0</v>
      </c>
      <c r="I494" s="50">
        <v>0</v>
      </c>
      <c r="J494" s="50">
        <v>0</v>
      </c>
      <c r="K494" s="50">
        <f t="shared" si="18"/>
        <v>0</v>
      </c>
      <c r="L494" s="52">
        <f t="shared" si="19"/>
        <v>0</v>
      </c>
    </row>
    <row r="495" spans="3:12" s="53" customFormat="1" ht="27" customHeight="1">
      <c r="C495" s="46" t="s">
        <v>1510</v>
      </c>
      <c r="D495" s="47" t="s">
        <v>2123</v>
      </c>
      <c r="E495" s="48" t="s">
        <v>1514</v>
      </c>
      <c r="F495" s="48" t="s">
        <v>485</v>
      </c>
      <c r="G495" s="49">
        <v>130</v>
      </c>
      <c r="H495" s="50">
        <v>0</v>
      </c>
      <c r="I495" s="50">
        <v>0</v>
      </c>
      <c r="J495" s="50">
        <v>0</v>
      </c>
      <c r="K495" s="50">
        <f t="shared" si="18"/>
        <v>0</v>
      </c>
      <c r="L495" s="52">
        <f t="shared" si="19"/>
        <v>0</v>
      </c>
    </row>
    <row r="496" spans="3:12" s="53" customFormat="1" ht="27" customHeight="1">
      <c r="C496" s="46" t="s">
        <v>1511</v>
      </c>
      <c r="D496" s="47" t="s">
        <v>2138</v>
      </c>
      <c r="E496" s="48" t="s">
        <v>2172</v>
      </c>
      <c r="F496" s="48" t="s">
        <v>26</v>
      </c>
      <c r="G496" s="49">
        <v>1</v>
      </c>
      <c r="H496" s="50">
        <v>0</v>
      </c>
      <c r="I496" s="50">
        <v>0</v>
      </c>
      <c r="J496" s="50">
        <v>0</v>
      </c>
      <c r="K496" s="50">
        <f t="shared" si="18"/>
        <v>0</v>
      </c>
      <c r="L496" s="52">
        <f t="shared" si="19"/>
        <v>0</v>
      </c>
    </row>
    <row r="497" spans="3:12" s="53" customFormat="1" ht="27" customHeight="1">
      <c r="C497" s="46"/>
      <c r="D497" s="47"/>
      <c r="E497" s="48"/>
      <c r="F497" s="48"/>
      <c r="G497" s="49"/>
      <c r="H497" s="50"/>
      <c r="I497" s="50"/>
      <c r="J497" s="50"/>
      <c r="K497" s="50"/>
      <c r="L497" s="52"/>
    </row>
    <row r="498" spans="3:12" s="53" customFormat="1" ht="27" customHeight="1">
      <c r="C498" s="207" t="s">
        <v>1515</v>
      </c>
      <c r="D498" s="159" t="s">
        <v>2270</v>
      </c>
      <c r="E498" s="48"/>
      <c r="F498" s="48"/>
      <c r="G498" s="49"/>
      <c r="H498" s="50"/>
      <c r="I498" s="50"/>
      <c r="J498" s="50"/>
      <c r="K498" s="50"/>
      <c r="L498" s="52"/>
    </row>
    <row r="499" spans="3:12" s="53" customFormat="1" ht="27" customHeight="1">
      <c r="C499" s="46"/>
      <c r="D499" s="47"/>
      <c r="E499" s="48"/>
      <c r="F499" s="48"/>
      <c r="G499" s="49"/>
      <c r="H499" s="50"/>
      <c r="I499" s="50"/>
      <c r="J499" s="50"/>
      <c r="K499" s="50"/>
      <c r="L499" s="52"/>
    </row>
    <row r="500" spans="3:12" s="53" customFormat="1" ht="27" customHeight="1">
      <c r="C500" s="46" t="s">
        <v>1523</v>
      </c>
      <c r="D500" s="47" t="s">
        <v>1472</v>
      </c>
      <c r="E500" s="48" t="s">
        <v>351</v>
      </c>
      <c r="F500" s="48" t="s">
        <v>378</v>
      </c>
      <c r="G500" s="49">
        <v>2</v>
      </c>
      <c r="H500" s="50">
        <v>0</v>
      </c>
      <c r="I500" s="50">
        <v>0</v>
      </c>
      <c r="J500" s="50">
        <v>0</v>
      </c>
      <c r="K500" s="50">
        <f t="shared" si="18"/>
        <v>0</v>
      </c>
      <c r="L500" s="52">
        <f t="shared" si="19"/>
        <v>0</v>
      </c>
    </row>
    <row r="501" spans="3:12" s="53" customFormat="1" ht="27" customHeight="1">
      <c r="C501" s="46" t="s">
        <v>1524</v>
      </c>
      <c r="D501" s="47" t="s">
        <v>304</v>
      </c>
      <c r="E501" s="48" t="s">
        <v>351</v>
      </c>
      <c r="F501" s="48" t="s">
        <v>378</v>
      </c>
      <c r="G501" s="49">
        <v>2</v>
      </c>
      <c r="H501" s="50">
        <v>0</v>
      </c>
      <c r="I501" s="50">
        <v>0</v>
      </c>
      <c r="J501" s="50">
        <v>0</v>
      </c>
      <c r="K501" s="50">
        <f t="shared" si="18"/>
        <v>0</v>
      </c>
      <c r="L501" s="52">
        <f t="shared" si="19"/>
        <v>0</v>
      </c>
    </row>
    <row r="502" spans="3:12" s="53" customFormat="1" ht="27" customHeight="1">
      <c r="C502" s="46" t="s">
        <v>1525</v>
      </c>
      <c r="D502" s="47" t="s">
        <v>1182</v>
      </c>
      <c r="E502" s="48" t="s">
        <v>1188</v>
      </c>
      <c r="F502" s="48" t="s">
        <v>378</v>
      </c>
      <c r="G502" s="49">
        <v>2</v>
      </c>
      <c r="H502" s="50">
        <v>0</v>
      </c>
      <c r="I502" s="50">
        <v>0</v>
      </c>
      <c r="J502" s="50">
        <v>0</v>
      </c>
      <c r="K502" s="50">
        <f t="shared" si="18"/>
        <v>0</v>
      </c>
      <c r="L502" s="52">
        <f t="shared" si="19"/>
        <v>0</v>
      </c>
    </row>
    <row r="503" spans="3:12" s="53" customFormat="1" ht="27" customHeight="1">
      <c r="C503" s="46" t="s">
        <v>1526</v>
      </c>
      <c r="D503" s="47" t="s">
        <v>1473</v>
      </c>
      <c r="E503" s="48" t="s">
        <v>1188</v>
      </c>
      <c r="F503" s="48" t="s">
        <v>378</v>
      </c>
      <c r="G503" s="49">
        <v>2</v>
      </c>
      <c r="H503" s="50">
        <v>0</v>
      </c>
      <c r="I503" s="50">
        <v>0</v>
      </c>
      <c r="J503" s="50">
        <v>0</v>
      </c>
      <c r="K503" s="50">
        <f t="shared" si="18"/>
        <v>0</v>
      </c>
      <c r="L503" s="52">
        <f t="shared" si="19"/>
        <v>0</v>
      </c>
    </row>
    <row r="504" spans="3:12" s="53" customFormat="1" ht="27" customHeight="1">
      <c r="C504" s="46" t="s">
        <v>1527</v>
      </c>
      <c r="D504" s="47" t="s">
        <v>1860</v>
      </c>
      <c r="E504" s="48" t="s">
        <v>1865</v>
      </c>
      <c r="F504" s="48" t="s">
        <v>378</v>
      </c>
      <c r="G504" s="49">
        <v>9</v>
      </c>
      <c r="H504" s="50">
        <v>0</v>
      </c>
      <c r="I504" s="50">
        <v>0</v>
      </c>
      <c r="J504" s="50">
        <v>0</v>
      </c>
      <c r="K504" s="50">
        <f t="shared" si="18"/>
        <v>0</v>
      </c>
      <c r="L504" s="52">
        <f t="shared" si="19"/>
        <v>0</v>
      </c>
    </row>
    <row r="505" spans="3:12" s="53" customFormat="1" ht="27" customHeight="1">
      <c r="C505" s="46" t="s">
        <v>1528</v>
      </c>
      <c r="D505" s="47" t="s">
        <v>1019</v>
      </c>
      <c r="E505" s="48" t="s">
        <v>351</v>
      </c>
      <c r="F505" s="48" t="s">
        <v>378</v>
      </c>
      <c r="G505" s="49">
        <v>9</v>
      </c>
      <c r="H505" s="50">
        <v>0</v>
      </c>
      <c r="I505" s="50">
        <v>0</v>
      </c>
      <c r="J505" s="50">
        <v>0</v>
      </c>
      <c r="K505" s="50">
        <f t="shared" si="18"/>
        <v>0</v>
      </c>
      <c r="L505" s="52">
        <f t="shared" si="19"/>
        <v>0</v>
      </c>
    </row>
    <row r="506" spans="3:12" s="53" customFormat="1" ht="27" customHeight="1">
      <c r="C506" s="46" t="s">
        <v>1529</v>
      </c>
      <c r="D506" s="47" t="s">
        <v>1516</v>
      </c>
      <c r="E506" s="48" t="s">
        <v>1512</v>
      </c>
      <c r="F506" s="48" t="s">
        <v>378</v>
      </c>
      <c r="G506" s="49">
        <v>3</v>
      </c>
      <c r="H506" s="50">
        <v>0</v>
      </c>
      <c r="I506" s="50">
        <v>0</v>
      </c>
      <c r="J506" s="50">
        <v>0</v>
      </c>
      <c r="K506" s="50">
        <f t="shared" si="18"/>
        <v>0</v>
      </c>
      <c r="L506" s="52">
        <f t="shared" si="19"/>
        <v>0</v>
      </c>
    </row>
    <row r="507" spans="3:12" s="53" customFormat="1" ht="27" customHeight="1">
      <c r="C507" s="46" t="s">
        <v>1530</v>
      </c>
      <c r="D507" s="47" t="s">
        <v>1474</v>
      </c>
      <c r="E507" s="48" t="s">
        <v>1512</v>
      </c>
      <c r="F507" s="48" t="s">
        <v>378</v>
      </c>
      <c r="G507" s="49">
        <v>3</v>
      </c>
      <c r="H507" s="50">
        <v>0</v>
      </c>
      <c r="I507" s="50">
        <v>0</v>
      </c>
      <c r="J507" s="50">
        <v>0</v>
      </c>
      <c r="K507" s="50">
        <f t="shared" si="18"/>
        <v>0</v>
      </c>
      <c r="L507" s="52">
        <f t="shared" si="19"/>
        <v>0</v>
      </c>
    </row>
    <row r="508" spans="3:12" s="53" customFormat="1" ht="27" customHeight="1">
      <c r="C508" s="46" t="s">
        <v>1531</v>
      </c>
      <c r="D508" s="47" t="s">
        <v>1475</v>
      </c>
      <c r="E508" s="48" t="s">
        <v>1864</v>
      </c>
      <c r="F508" s="48" t="s">
        <v>378</v>
      </c>
      <c r="G508" s="49">
        <v>1</v>
      </c>
      <c r="H508" s="148"/>
      <c r="I508" s="50">
        <v>0</v>
      </c>
      <c r="J508" s="50">
        <v>0</v>
      </c>
      <c r="K508" s="50">
        <f t="shared" si="18"/>
        <v>0</v>
      </c>
      <c r="L508" s="52">
        <f t="shared" si="19"/>
        <v>0</v>
      </c>
    </row>
    <row r="509" spans="3:12" s="53" customFormat="1" ht="27" customHeight="1">
      <c r="C509" s="46" t="s">
        <v>1532</v>
      </c>
      <c r="D509" s="47" t="s">
        <v>1476</v>
      </c>
      <c r="E509" s="48" t="s">
        <v>1513</v>
      </c>
      <c r="F509" s="48" t="s">
        <v>378</v>
      </c>
      <c r="G509" s="49">
        <v>1</v>
      </c>
      <c r="H509" s="50">
        <v>0</v>
      </c>
      <c r="I509" s="50">
        <v>0</v>
      </c>
      <c r="J509" s="50">
        <v>0</v>
      </c>
      <c r="K509" s="50">
        <f t="shared" si="18"/>
        <v>0</v>
      </c>
      <c r="L509" s="52">
        <f t="shared" si="19"/>
        <v>0</v>
      </c>
    </row>
    <row r="510" spans="3:12" s="53" customFormat="1" ht="27" customHeight="1">
      <c r="C510" s="46" t="s">
        <v>1533</v>
      </c>
      <c r="D510" s="47" t="s">
        <v>1477</v>
      </c>
      <c r="E510" s="48" t="s">
        <v>1513</v>
      </c>
      <c r="F510" s="48" t="s">
        <v>378</v>
      </c>
      <c r="G510" s="49">
        <v>1</v>
      </c>
      <c r="H510" s="50">
        <v>0</v>
      </c>
      <c r="I510" s="50">
        <v>0</v>
      </c>
      <c r="J510" s="50">
        <v>0</v>
      </c>
      <c r="K510" s="50">
        <f t="shared" si="18"/>
        <v>0</v>
      </c>
      <c r="L510" s="52">
        <f t="shared" si="19"/>
        <v>0</v>
      </c>
    </row>
    <row r="511" spans="3:12" s="53" customFormat="1" ht="27" customHeight="1">
      <c r="C511" s="46" t="s">
        <v>1534</v>
      </c>
      <c r="D511" s="47" t="s">
        <v>1025</v>
      </c>
      <c r="E511" s="48" t="s">
        <v>351</v>
      </c>
      <c r="F511" s="48" t="s">
        <v>378</v>
      </c>
      <c r="G511" s="49">
        <v>1</v>
      </c>
      <c r="H511" s="50">
        <v>0</v>
      </c>
      <c r="I511" s="50">
        <v>0</v>
      </c>
      <c r="J511" s="50">
        <v>0</v>
      </c>
      <c r="K511" s="50">
        <f t="shared" si="18"/>
        <v>0</v>
      </c>
      <c r="L511" s="52">
        <f t="shared" si="19"/>
        <v>0</v>
      </c>
    </row>
    <row r="512" spans="3:12" s="53" customFormat="1" ht="27" customHeight="1">
      <c r="C512" s="46" t="s">
        <v>1535</v>
      </c>
      <c r="D512" s="47" t="s">
        <v>1034</v>
      </c>
      <c r="E512" s="48" t="s">
        <v>351</v>
      </c>
      <c r="F512" s="48" t="s">
        <v>378</v>
      </c>
      <c r="G512" s="49">
        <v>3</v>
      </c>
      <c r="H512" s="50">
        <v>0</v>
      </c>
      <c r="I512" s="50">
        <v>0</v>
      </c>
      <c r="J512" s="50">
        <v>0</v>
      </c>
      <c r="K512" s="50">
        <f t="shared" ref="K512:K525" si="20">+H512+I512+J512</f>
        <v>0</v>
      </c>
      <c r="L512" s="52">
        <f t="shared" ref="L512:L525" si="21">+G512*K512</f>
        <v>0</v>
      </c>
    </row>
    <row r="513" spans="3:12" s="53" customFormat="1" ht="27" customHeight="1">
      <c r="C513" s="46" t="s">
        <v>1536</v>
      </c>
      <c r="D513" s="47" t="s">
        <v>1484</v>
      </c>
      <c r="E513" s="48" t="s">
        <v>351</v>
      </c>
      <c r="F513" s="48" t="s">
        <v>378</v>
      </c>
      <c r="G513" s="49">
        <v>3</v>
      </c>
      <c r="H513" s="50">
        <v>0</v>
      </c>
      <c r="I513" s="50">
        <v>0</v>
      </c>
      <c r="J513" s="50">
        <v>0</v>
      </c>
      <c r="K513" s="50">
        <f t="shared" si="20"/>
        <v>0</v>
      </c>
      <c r="L513" s="52">
        <f t="shared" si="21"/>
        <v>0</v>
      </c>
    </row>
    <row r="514" spans="3:12" s="53" customFormat="1" ht="27" customHeight="1">
      <c r="C514" s="46" t="s">
        <v>1537</v>
      </c>
      <c r="D514" s="47" t="s">
        <v>1485</v>
      </c>
      <c r="E514" s="48" t="s">
        <v>351</v>
      </c>
      <c r="F514" s="48" t="s">
        <v>378</v>
      </c>
      <c r="G514" s="49">
        <v>3</v>
      </c>
      <c r="H514" s="50">
        <v>0</v>
      </c>
      <c r="I514" s="50">
        <v>0</v>
      </c>
      <c r="J514" s="50">
        <v>0</v>
      </c>
      <c r="K514" s="50">
        <f t="shared" si="20"/>
        <v>0</v>
      </c>
      <c r="L514" s="52">
        <f t="shared" si="21"/>
        <v>0</v>
      </c>
    </row>
    <row r="515" spans="3:12" s="53" customFormat="1" ht="27" customHeight="1">
      <c r="C515" s="46" t="s">
        <v>1538</v>
      </c>
      <c r="D515" s="47" t="s">
        <v>1152</v>
      </c>
      <c r="E515" s="48" t="s">
        <v>351</v>
      </c>
      <c r="F515" s="48" t="s">
        <v>378</v>
      </c>
      <c r="G515" s="49">
        <v>8</v>
      </c>
      <c r="H515" s="50">
        <v>0</v>
      </c>
      <c r="I515" s="50">
        <v>0</v>
      </c>
      <c r="J515" s="50">
        <v>0</v>
      </c>
      <c r="K515" s="50">
        <f t="shared" si="20"/>
        <v>0</v>
      </c>
      <c r="L515" s="52">
        <f t="shared" si="21"/>
        <v>0</v>
      </c>
    </row>
    <row r="516" spans="3:12" s="53" customFormat="1" ht="27" customHeight="1">
      <c r="C516" s="46" t="s">
        <v>1539</v>
      </c>
      <c r="D516" s="47" t="s">
        <v>1018</v>
      </c>
      <c r="E516" s="48" t="s">
        <v>1865</v>
      </c>
      <c r="F516" s="48" t="s">
        <v>378</v>
      </c>
      <c r="G516" s="49">
        <v>8</v>
      </c>
      <c r="H516" s="50">
        <v>0</v>
      </c>
      <c r="I516" s="50">
        <v>0</v>
      </c>
      <c r="J516" s="50">
        <v>0</v>
      </c>
      <c r="K516" s="50">
        <f t="shared" si="20"/>
        <v>0</v>
      </c>
      <c r="L516" s="52">
        <f t="shared" si="21"/>
        <v>0</v>
      </c>
    </row>
    <row r="517" spans="3:12" s="53" customFormat="1" ht="27" customHeight="1">
      <c r="C517" s="46" t="s">
        <v>1540</v>
      </c>
      <c r="D517" s="47" t="s">
        <v>1184</v>
      </c>
      <c r="E517" s="48" t="s">
        <v>354</v>
      </c>
      <c r="F517" s="48" t="s">
        <v>378</v>
      </c>
      <c r="G517" s="49">
        <v>1</v>
      </c>
      <c r="H517" s="50">
        <v>0</v>
      </c>
      <c r="I517" s="50">
        <v>0</v>
      </c>
      <c r="J517" s="50">
        <v>0</v>
      </c>
      <c r="K517" s="50">
        <f t="shared" si="20"/>
        <v>0</v>
      </c>
      <c r="L517" s="52">
        <f t="shared" si="21"/>
        <v>0</v>
      </c>
    </row>
    <row r="518" spans="3:12" s="53" customFormat="1" ht="27" customHeight="1">
      <c r="C518" s="46" t="s">
        <v>1541</v>
      </c>
      <c r="D518" s="47" t="s">
        <v>1185</v>
      </c>
      <c r="E518" s="48" t="s">
        <v>354</v>
      </c>
      <c r="F518" s="48" t="s">
        <v>378</v>
      </c>
      <c r="G518" s="49">
        <v>3</v>
      </c>
      <c r="H518" s="50">
        <v>0</v>
      </c>
      <c r="I518" s="50">
        <v>0</v>
      </c>
      <c r="J518" s="50">
        <v>0</v>
      </c>
      <c r="K518" s="50">
        <f t="shared" si="20"/>
        <v>0</v>
      </c>
      <c r="L518" s="52">
        <f t="shared" si="21"/>
        <v>0</v>
      </c>
    </row>
    <row r="519" spans="3:12" s="53" customFormat="1" ht="27" customHeight="1">
      <c r="C519" s="46" t="s">
        <v>1542</v>
      </c>
      <c r="D519" s="47" t="s">
        <v>1478</v>
      </c>
      <c r="E519" s="48" t="s">
        <v>2125</v>
      </c>
      <c r="F519" s="48" t="s">
        <v>378</v>
      </c>
      <c r="G519" s="49">
        <v>1</v>
      </c>
      <c r="H519" s="50">
        <v>0</v>
      </c>
      <c r="I519" s="50">
        <v>0</v>
      </c>
      <c r="J519" s="50">
        <v>0</v>
      </c>
      <c r="K519" s="50">
        <f t="shared" si="20"/>
        <v>0</v>
      </c>
      <c r="L519" s="52">
        <f t="shared" si="21"/>
        <v>0</v>
      </c>
    </row>
    <row r="520" spans="3:12" s="53" customFormat="1" ht="27" customHeight="1">
      <c r="C520" s="46" t="s">
        <v>1543</v>
      </c>
      <c r="D520" s="47" t="s">
        <v>1517</v>
      </c>
      <c r="E520" s="48" t="s">
        <v>351</v>
      </c>
      <c r="F520" s="48" t="s">
        <v>378</v>
      </c>
      <c r="G520" s="49">
        <v>1</v>
      </c>
      <c r="H520" s="50">
        <v>0</v>
      </c>
      <c r="I520" s="50">
        <v>0</v>
      </c>
      <c r="J520" s="50">
        <v>0</v>
      </c>
      <c r="K520" s="50">
        <f t="shared" si="20"/>
        <v>0</v>
      </c>
      <c r="L520" s="52">
        <f t="shared" si="21"/>
        <v>0</v>
      </c>
    </row>
    <row r="521" spans="3:12" s="53" customFormat="1" ht="27" customHeight="1">
      <c r="C521" s="46" t="s">
        <v>1544</v>
      </c>
      <c r="D521" s="47" t="s">
        <v>1518</v>
      </c>
      <c r="E521" s="48" t="s">
        <v>351</v>
      </c>
      <c r="F521" s="48" t="s">
        <v>378</v>
      </c>
      <c r="G521" s="49">
        <v>7</v>
      </c>
      <c r="H521" s="50">
        <v>0</v>
      </c>
      <c r="I521" s="50">
        <v>0</v>
      </c>
      <c r="J521" s="50">
        <v>0</v>
      </c>
      <c r="K521" s="50">
        <f t="shared" si="20"/>
        <v>0</v>
      </c>
      <c r="L521" s="52">
        <f t="shared" si="21"/>
        <v>0</v>
      </c>
    </row>
    <row r="522" spans="3:12" s="53" customFormat="1" ht="27" customHeight="1">
      <c r="C522" s="46" t="s">
        <v>1545</v>
      </c>
      <c r="D522" s="47" t="s">
        <v>1519</v>
      </c>
      <c r="E522" s="48" t="s">
        <v>351</v>
      </c>
      <c r="F522" s="48" t="s">
        <v>378</v>
      </c>
      <c r="G522" s="49">
        <v>1</v>
      </c>
      <c r="H522" s="50">
        <v>0</v>
      </c>
      <c r="I522" s="50">
        <v>0</v>
      </c>
      <c r="J522" s="50">
        <v>0</v>
      </c>
      <c r="K522" s="50">
        <f t="shared" si="20"/>
        <v>0</v>
      </c>
      <c r="L522" s="52">
        <f t="shared" si="21"/>
        <v>0</v>
      </c>
    </row>
    <row r="523" spans="3:12" s="53" customFormat="1" ht="27" customHeight="1">
      <c r="C523" s="46" t="s">
        <v>1546</v>
      </c>
      <c r="D523" s="47" t="s">
        <v>1520</v>
      </c>
      <c r="E523" s="48" t="s">
        <v>351</v>
      </c>
      <c r="F523" s="48" t="s">
        <v>378</v>
      </c>
      <c r="G523" s="49">
        <v>4</v>
      </c>
      <c r="H523" s="50">
        <v>0</v>
      </c>
      <c r="I523" s="50">
        <v>0</v>
      </c>
      <c r="J523" s="50">
        <v>0</v>
      </c>
      <c r="K523" s="50">
        <f t="shared" si="20"/>
        <v>0</v>
      </c>
      <c r="L523" s="52">
        <f t="shared" si="21"/>
        <v>0</v>
      </c>
    </row>
    <row r="524" spans="3:12" s="53" customFormat="1" ht="27" customHeight="1">
      <c r="C524" s="46" t="s">
        <v>1547</v>
      </c>
      <c r="D524" s="47" t="s">
        <v>1399</v>
      </c>
      <c r="E524" s="48" t="s">
        <v>351</v>
      </c>
      <c r="F524" s="48" t="s">
        <v>378</v>
      </c>
      <c r="G524" s="49">
        <v>1</v>
      </c>
      <c r="H524" s="50">
        <v>0</v>
      </c>
      <c r="I524" s="50">
        <v>0</v>
      </c>
      <c r="J524" s="50">
        <v>0</v>
      </c>
      <c r="K524" s="50">
        <f t="shared" si="20"/>
        <v>0</v>
      </c>
      <c r="L524" s="52">
        <f t="shared" si="21"/>
        <v>0</v>
      </c>
    </row>
    <row r="525" spans="3:12" s="53" customFormat="1" ht="27" customHeight="1">
      <c r="C525" s="46" t="s">
        <v>1548</v>
      </c>
      <c r="D525" s="47" t="s">
        <v>1521</v>
      </c>
      <c r="E525" s="48" t="s">
        <v>351</v>
      </c>
      <c r="F525" s="48" t="s">
        <v>378</v>
      </c>
      <c r="G525" s="49">
        <v>2</v>
      </c>
      <c r="H525" s="50">
        <v>0</v>
      </c>
      <c r="I525" s="50">
        <v>0</v>
      </c>
      <c r="J525" s="50">
        <v>0</v>
      </c>
      <c r="K525" s="50">
        <f t="shared" si="20"/>
        <v>0</v>
      </c>
      <c r="L525" s="52">
        <f t="shared" si="21"/>
        <v>0</v>
      </c>
    </row>
    <row r="526" spans="3:12" s="53" customFormat="1" ht="27" customHeight="1">
      <c r="C526" s="46" t="s">
        <v>1549</v>
      </c>
      <c r="D526" s="47" t="s">
        <v>1522</v>
      </c>
      <c r="E526" s="48" t="s">
        <v>351</v>
      </c>
      <c r="F526" s="48" t="s">
        <v>378</v>
      </c>
      <c r="G526" s="49">
        <v>7</v>
      </c>
      <c r="H526" s="50">
        <v>0</v>
      </c>
      <c r="I526" s="50">
        <v>0</v>
      </c>
      <c r="J526" s="50">
        <v>0</v>
      </c>
      <c r="K526" s="50">
        <f t="shared" ref="K526:K539" si="22">+H526+I526+J526</f>
        <v>0</v>
      </c>
      <c r="L526" s="52">
        <f t="shared" ref="L526:L539" si="23">+G526*K526</f>
        <v>0</v>
      </c>
    </row>
    <row r="527" spans="3:12" s="53" customFormat="1" ht="27" customHeight="1">
      <c r="C527" s="46" t="s">
        <v>1550</v>
      </c>
      <c r="D527" s="47" t="s">
        <v>2120</v>
      </c>
      <c r="E527" s="136" t="s">
        <v>2124</v>
      </c>
      <c r="F527" s="48" t="s">
        <v>26</v>
      </c>
      <c r="G527" s="49">
        <v>1</v>
      </c>
      <c r="H527" s="50">
        <v>0</v>
      </c>
      <c r="I527" s="50">
        <v>0</v>
      </c>
      <c r="J527" s="50">
        <v>0</v>
      </c>
      <c r="K527" s="50">
        <f t="shared" si="22"/>
        <v>0</v>
      </c>
      <c r="L527" s="52">
        <f t="shared" si="23"/>
        <v>0</v>
      </c>
    </row>
    <row r="528" spans="3:12" s="53" customFormat="1" ht="27" customHeight="1">
      <c r="C528" s="46" t="s">
        <v>1551</v>
      </c>
      <c r="D528" s="47" t="s">
        <v>2121</v>
      </c>
      <c r="E528" s="136" t="s">
        <v>2124</v>
      </c>
      <c r="F528" s="48" t="s">
        <v>26</v>
      </c>
      <c r="G528" s="49">
        <v>1</v>
      </c>
      <c r="H528" s="50">
        <v>0</v>
      </c>
      <c r="I528" s="50">
        <v>0</v>
      </c>
      <c r="J528" s="50">
        <v>0</v>
      </c>
      <c r="K528" s="50">
        <f t="shared" si="22"/>
        <v>0</v>
      </c>
      <c r="L528" s="52">
        <f t="shared" si="23"/>
        <v>0</v>
      </c>
    </row>
    <row r="529" spans="3:12" s="53" customFormat="1" ht="27" customHeight="1">
      <c r="C529" s="46" t="s">
        <v>1552</v>
      </c>
      <c r="D529" s="47" t="s">
        <v>1859</v>
      </c>
      <c r="E529" s="48" t="s">
        <v>1514</v>
      </c>
      <c r="F529" s="48" t="s">
        <v>2122</v>
      </c>
      <c r="G529" s="49">
        <v>175</v>
      </c>
      <c r="H529" s="50">
        <v>0</v>
      </c>
      <c r="I529" s="50">
        <v>0</v>
      </c>
      <c r="J529" s="50">
        <v>0</v>
      </c>
      <c r="K529" s="50">
        <f t="shared" si="22"/>
        <v>0</v>
      </c>
      <c r="L529" s="52">
        <f t="shared" si="23"/>
        <v>0</v>
      </c>
    </row>
    <row r="530" spans="3:12" s="53" customFormat="1" ht="27" customHeight="1">
      <c r="C530" s="46" t="s">
        <v>1553</v>
      </c>
      <c r="D530" s="47" t="s">
        <v>2139</v>
      </c>
      <c r="E530" s="48" t="s">
        <v>2172</v>
      </c>
      <c r="F530" s="48" t="s">
        <v>26</v>
      </c>
      <c r="G530" s="49">
        <v>1</v>
      </c>
      <c r="H530" s="50">
        <v>0</v>
      </c>
      <c r="I530" s="50">
        <v>0</v>
      </c>
      <c r="J530" s="50">
        <v>0</v>
      </c>
      <c r="K530" s="50">
        <f t="shared" si="22"/>
        <v>0</v>
      </c>
      <c r="L530" s="52">
        <f t="shared" si="23"/>
        <v>0</v>
      </c>
    </row>
    <row r="531" spans="3:12" s="53" customFormat="1" ht="27" customHeight="1">
      <c r="C531" s="46"/>
      <c r="D531" s="47"/>
      <c r="E531" s="48"/>
      <c r="F531" s="48"/>
      <c r="G531" s="49"/>
      <c r="H531" s="50"/>
      <c r="I531" s="50"/>
      <c r="J531" s="50"/>
      <c r="K531" s="50"/>
      <c r="L531" s="52"/>
    </row>
    <row r="532" spans="3:12" s="53" customFormat="1" ht="27" customHeight="1">
      <c r="C532" s="207" t="s">
        <v>1554</v>
      </c>
      <c r="D532" s="159" t="s">
        <v>2271</v>
      </c>
      <c r="E532" s="48"/>
      <c r="F532" s="48"/>
      <c r="G532" s="49"/>
      <c r="H532" s="50"/>
      <c r="I532" s="50"/>
      <c r="J532" s="50"/>
      <c r="K532" s="50"/>
      <c r="L532" s="52"/>
    </row>
    <row r="533" spans="3:12" s="53" customFormat="1" ht="27" customHeight="1">
      <c r="C533" s="46"/>
      <c r="D533" s="47"/>
      <c r="E533" s="48"/>
      <c r="F533" s="48"/>
      <c r="G533" s="49"/>
      <c r="H533" s="50"/>
      <c r="I533" s="50"/>
      <c r="J533" s="50"/>
      <c r="K533" s="50"/>
      <c r="L533" s="52"/>
    </row>
    <row r="534" spans="3:12" s="53" customFormat="1" ht="27" customHeight="1">
      <c r="C534" s="46" t="s">
        <v>1573</v>
      </c>
      <c r="D534" s="47" t="s">
        <v>1555</v>
      </c>
      <c r="E534" s="48" t="s">
        <v>2118</v>
      </c>
      <c r="F534" s="48" t="s">
        <v>378</v>
      </c>
      <c r="G534" s="49">
        <v>1</v>
      </c>
      <c r="H534" s="50">
        <v>0</v>
      </c>
      <c r="I534" s="50">
        <v>0</v>
      </c>
      <c r="J534" s="50">
        <v>0</v>
      </c>
      <c r="K534" s="50">
        <f t="shared" si="22"/>
        <v>0</v>
      </c>
      <c r="L534" s="52">
        <f t="shared" si="23"/>
        <v>0</v>
      </c>
    </row>
    <row r="535" spans="3:12" s="53" customFormat="1" ht="27" customHeight="1">
      <c r="C535" s="46" t="s">
        <v>1574</v>
      </c>
      <c r="D535" s="47" t="s">
        <v>1019</v>
      </c>
      <c r="E535" s="48" t="s">
        <v>351</v>
      </c>
      <c r="F535" s="48" t="s">
        <v>378</v>
      </c>
      <c r="G535" s="49">
        <v>4</v>
      </c>
      <c r="H535" s="50">
        <v>0</v>
      </c>
      <c r="I535" s="50">
        <v>0</v>
      </c>
      <c r="J535" s="50">
        <v>0</v>
      </c>
      <c r="K535" s="50">
        <f t="shared" si="22"/>
        <v>0</v>
      </c>
      <c r="L535" s="52">
        <f t="shared" si="23"/>
        <v>0</v>
      </c>
    </row>
    <row r="536" spans="3:12" s="53" customFormat="1" ht="27" customHeight="1">
      <c r="C536" s="46" t="s">
        <v>1575</v>
      </c>
      <c r="D536" s="47" t="s">
        <v>1184</v>
      </c>
      <c r="E536" s="48" t="s">
        <v>354</v>
      </c>
      <c r="F536" s="48" t="s">
        <v>378</v>
      </c>
      <c r="G536" s="49">
        <v>11</v>
      </c>
      <c r="H536" s="50">
        <v>0</v>
      </c>
      <c r="I536" s="50">
        <v>0</v>
      </c>
      <c r="J536" s="50">
        <v>0</v>
      </c>
      <c r="K536" s="50">
        <f t="shared" si="22"/>
        <v>0</v>
      </c>
      <c r="L536" s="52">
        <f t="shared" si="23"/>
        <v>0</v>
      </c>
    </row>
    <row r="537" spans="3:12" s="53" customFormat="1" ht="27" customHeight="1">
      <c r="C537" s="46" t="s">
        <v>1576</v>
      </c>
      <c r="D537" s="47" t="s">
        <v>1556</v>
      </c>
      <c r="E537" s="48" t="s">
        <v>354</v>
      </c>
      <c r="F537" s="48" t="s">
        <v>378</v>
      </c>
      <c r="G537" s="49">
        <v>24</v>
      </c>
      <c r="H537" s="50">
        <v>0</v>
      </c>
      <c r="I537" s="50">
        <v>0</v>
      </c>
      <c r="J537" s="50">
        <v>0</v>
      </c>
      <c r="K537" s="50">
        <f t="shared" si="22"/>
        <v>0</v>
      </c>
      <c r="L537" s="52">
        <f t="shared" si="23"/>
        <v>0</v>
      </c>
    </row>
    <row r="538" spans="3:12" s="53" customFormat="1" ht="27" customHeight="1">
      <c r="C538" s="46" t="s">
        <v>1577</v>
      </c>
      <c r="D538" s="47" t="s">
        <v>1557</v>
      </c>
      <c r="E538" s="48" t="s">
        <v>354</v>
      </c>
      <c r="F538" s="48" t="s">
        <v>378</v>
      </c>
      <c r="G538" s="49">
        <v>3</v>
      </c>
      <c r="H538" s="50">
        <v>0</v>
      </c>
      <c r="I538" s="50">
        <v>0</v>
      </c>
      <c r="J538" s="50">
        <v>0</v>
      </c>
      <c r="K538" s="50">
        <f t="shared" si="22"/>
        <v>0</v>
      </c>
      <c r="L538" s="52">
        <f t="shared" si="23"/>
        <v>0</v>
      </c>
    </row>
    <row r="539" spans="3:12" s="53" customFormat="1" ht="27" customHeight="1">
      <c r="C539" s="46" t="s">
        <v>1578</v>
      </c>
      <c r="D539" s="47" t="s">
        <v>1558</v>
      </c>
      <c r="E539" s="48" t="s">
        <v>354</v>
      </c>
      <c r="F539" s="48" t="s">
        <v>378</v>
      </c>
      <c r="G539" s="49">
        <v>6</v>
      </c>
      <c r="H539" s="50">
        <v>0</v>
      </c>
      <c r="I539" s="50">
        <v>0</v>
      </c>
      <c r="J539" s="50">
        <v>0</v>
      </c>
      <c r="K539" s="50">
        <f t="shared" si="22"/>
        <v>0</v>
      </c>
      <c r="L539" s="52">
        <f t="shared" si="23"/>
        <v>0</v>
      </c>
    </row>
    <row r="540" spans="3:12" s="53" customFormat="1" ht="27" customHeight="1">
      <c r="C540" s="46" t="s">
        <v>1579</v>
      </c>
      <c r="D540" s="47" t="s">
        <v>1559</v>
      </c>
      <c r="E540" s="48" t="s">
        <v>2118</v>
      </c>
      <c r="F540" s="48" t="s">
        <v>378</v>
      </c>
      <c r="G540" s="49">
        <v>8</v>
      </c>
      <c r="H540" s="50">
        <v>0</v>
      </c>
      <c r="I540" s="50">
        <v>0</v>
      </c>
      <c r="J540" s="50">
        <v>0</v>
      </c>
      <c r="K540" s="50">
        <f t="shared" ref="K540:K553" si="24">+H540+I540+J540</f>
        <v>0</v>
      </c>
      <c r="L540" s="52">
        <f t="shared" ref="L540:L553" si="25">+G540*K540</f>
        <v>0</v>
      </c>
    </row>
    <row r="541" spans="3:12" s="53" customFormat="1" ht="27" customHeight="1">
      <c r="C541" s="46" t="s">
        <v>1580</v>
      </c>
      <c r="D541" s="47" t="s">
        <v>1560</v>
      </c>
      <c r="E541" s="48" t="s">
        <v>2118</v>
      </c>
      <c r="F541" s="48" t="s">
        <v>378</v>
      </c>
      <c r="G541" s="49">
        <v>1</v>
      </c>
      <c r="H541" s="50">
        <v>0</v>
      </c>
      <c r="I541" s="50">
        <v>0</v>
      </c>
      <c r="J541" s="50">
        <v>0</v>
      </c>
      <c r="K541" s="50">
        <f t="shared" si="24"/>
        <v>0</v>
      </c>
      <c r="L541" s="52">
        <f t="shared" si="25"/>
        <v>0</v>
      </c>
    </row>
    <row r="542" spans="3:12" s="53" customFormat="1" ht="27" customHeight="1">
      <c r="C542" s="46" t="s">
        <v>1581</v>
      </c>
      <c r="D542" s="47" t="s">
        <v>1561</v>
      </c>
      <c r="E542" s="48" t="s">
        <v>2118</v>
      </c>
      <c r="F542" s="48" t="s">
        <v>378</v>
      </c>
      <c r="G542" s="49">
        <v>1</v>
      </c>
      <c r="H542" s="50">
        <v>0</v>
      </c>
      <c r="I542" s="50">
        <v>0</v>
      </c>
      <c r="J542" s="50">
        <v>0</v>
      </c>
      <c r="K542" s="50">
        <f t="shared" si="24"/>
        <v>0</v>
      </c>
      <c r="L542" s="52">
        <f t="shared" si="25"/>
        <v>0</v>
      </c>
    </row>
    <row r="543" spans="3:12" s="53" customFormat="1" ht="27" customHeight="1">
      <c r="C543" s="46" t="s">
        <v>1582</v>
      </c>
      <c r="D543" s="47" t="s">
        <v>1562</v>
      </c>
      <c r="E543" s="48" t="s">
        <v>2118</v>
      </c>
      <c r="F543" s="48" t="s">
        <v>378</v>
      </c>
      <c r="G543" s="49">
        <v>8</v>
      </c>
      <c r="H543" s="50">
        <v>0</v>
      </c>
      <c r="I543" s="50">
        <v>0</v>
      </c>
      <c r="J543" s="50">
        <v>0</v>
      </c>
      <c r="K543" s="50">
        <f t="shared" si="24"/>
        <v>0</v>
      </c>
      <c r="L543" s="52">
        <f t="shared" si="25"/>
        <v>0</v>
      </c>
    </row>
    <row r="544" spans="3:12" s="53" customFormat="1" ht="27" customHeight="1">
      <c r="C544" s="46" t="s">
        <v>1583</v>
      </c>
      <c r="D544" s="47" t="s">
        <v>1563</v>
      </c>
      <c r="E544" s="48" t="s">
        <v>2118</v>
      </c>
      <c r="F544" s="48" t="s">
        <v>378</v>
      </c>
      <c r="G544" s="49">
        <v>2</v>
      </c>
      <c r="H544" s="50">
        <v>0</v>
      </c>
      <c r="I544" s="50">
        <v>0</v>
      </c>
      <c r="J544" s="50">
        <v>0</v>
      </c>
      <c r="K544" s="50">
        <f t="shared" si="24"/>
        <v>0</v>
      </c>
      <c r="L544" s="52">
        <f t="shared" si="25"/>
        <v>0</v>
      </c>
    </row>
    <row r="545" spans="3:12" s="53" customFormat="1" ht="27" customHeight="1">
      <c r="C545" s="46" t="s">
        <v>1584</v>
      </c>
      <c r="D545" s="47" t="s">
        <v>1564</v>
      </c>
      <c r="E545" s="48" t="s">
        <v>2118</v>
      </c>
      <c r="F545" s="48" t="s">
        <v>378</v>
      </c>
      <c r="G545" s="49">
        <v>2</v>
      </c>
      <c r="H545" s="50">
        <v>0</v>
      </c>
      <c r="I545" s="50">
        <v>0</v>
      </c>
      <c r="J545" s="50">
        <v>0</v>
      </c>
      <c r="K545" s="50">
        <f t="shared" si="24"/>
        <v>0</v>
      </c>
      <c r="L545" s="52">
        <f t="shared" si="25"/>
        <v>0</v>
      </c>
    </row>
    <row r="546" spans="3:12" s="53" customFormat="1" ht="27" customHeight="1">
      <c r="C546" s="46" t="s">
        <v>1585</v>
      </c>
      <c r="D546" s="47" t="s">
        <v>1565</v>
      </c>
      <c r="E546" s="48" t="s">
        <v>2118</v>
      </c>
      <c r="F546" s="48" t="s">
        <v>378</v>
      </c>
      <c r="G546" s="49">
        <v>8</v>
      </c>
      <c r="H546" s="50">
        <v>0</v>
      </c>
      <c r="I546" s="50">
        <v>0</v>
      </c>
      <c r="J546" s="50">
        <v>0</v>
      </c>
      <c r="K546" s="50">
        <f t="shared" si="24"/>
        <v>0</v>
      </c>
      <c r="L546" s="52">
        <f t="shared" si="25"/>
        <v>0</v>
      </c>
    </row>
    <row r="547" spans="3:12" s="53" customFormat="1" ht="27" customHeight="1">
      <c r="C547" s="46" t="s">
        <v>1586</v>
      </c>
      <c r="D547" s="47" t="s">
        <v>1566</v>
      </c>
      <c r="E547" s="48" t="s">
        <v>2118</v>
      </c>
      <c r="F547" s="48" t="s">
        <v>378</v>
      </c>
      <c r="G547" s="49">
        <v>1</v>
      </c>
      <c r="H547" s="50">
        <v>0</v>
      </c>
      <c r="I547" s="50">
        <v>0</v>
      </c>
      <c r="J547" s="50">
        <v>0</v>
      </c>
      <c r="K547" s="50">
        <f t="shared" si="24"/>
        <v>0</v>
      </c>
      <c r="L547" s="52">
        <f t="shared" si="25"/>
        <v>0</v>
      </c>
    </row>
    <row r="548" spans="3:12" s="53" customFormat="1" ht="27" customHeight="1">
      <c r="C548" s="46" t="s">
        <v>1587</v>
      </c>
      <c r="D548" s="47" t="s">
        <v>1567</v>
      </c>
      <c r="E548" s="48" t="s">
        <v>2118</v>
      </c>
      <c r="F548" s="48" t="s">
        <v>378</v>
      </c>
      <c r="G548" s="49">
        <v>1</v>
      </c>
      <c r="H548" s="50">
        <v>0</v>
      </c>
      <c r="I548" s="50">
        <v>0</v>
      </c>
      <c r="J548" s="50">
        <v>0</v>
      </c>
      <c r="K548" s="50">
        <f t="shared" si="24"/>
        <v>0</v>
      </c>
      <c r="L548" s="52">
        <f t="shared" si="25"/>
        <v>0</v>
      </c>
    </row>
    <row r="549" spans="3:12" s="53" customFormat="1" ht="27" customHeight="1">
      <c r="C549" s="46" t="s">
        <v>1588</v>
      </c>
      <c r="D549" s="47" t="s">
        <v>1568</v>
      </c>
      <c r="E549" s="48" t="s">
        <v>2118</v>
      </c>
      <c r="F549" s="48" t="s">
        <v>378</v>
      </c>
      <c r="G549" s="49">
        <v>1</v>
      </c>
      <c r="H549" s="50">
        <v>0</v>
      </c>
      <c r="I549" s="50">
        <v>0</v>
      </c>
      <c r="J549" s="50">
        <v>0</v>
      </c>
      <c r="K549" s="50">
        <f t="shared" si="24"/>
        <v>0</v>
      </c>
      <c r="L549" s="52">
        <f t="shared" si="25"/>
        <v>0</v>
      </c>
    </row>
    <row r="550" spans="3:12" s="53" customFormat="1" ht="27" customHeight="1">
      <c r="C550" s="46" t="s">
        <v>1589</v>
      </c>
      <c r="D550" s="47" t="s">
        <v>1569</v>
      </c>
      <c r="E550" s="48" t="s">
        <v>2118</v>
      </c>
      <c r="F550" s="48" t="s">
        <v>378</v>
      </c>
      <c r="G550" s="49">
        <v>3</v>
      </c>
      <c r="H550" s="50">
        <v>0</v>
      </c>
      <c r="I550" s="50">
        <v>0</v>
      </c>
      <c r="J550" s="50">
        <v>0</v>
      </c>
      <c r="K550" s="50">
        <f t="shared" si="24"/>
        <v>0</v>
      </c>
      <c r="L550" s="52">
        <f t="shared" si="25"/>
        <v>0</v>
      </c>
    </row>
    <row r="551" spans="3:12" s="53" customFormat="1" ht="27" customHeight="1">
      <c r="C551" s="46" t="s">
        <v>1590</v>
      </c>
      <c r="D551" s="47" t="s">
        <v>1033</v>
      </c>
      <c r="E551" s="48" t="s">
        <v>1042</v>
      </c>
      <c r="F551" s="48" t="s">
        <v>378</v>
      </c>
      <c r="G551" s="49">
        <v>1</v>
      </c>
      <c r="H551" s="50">
        <v>0</v>
      </c>
      <c r="I551" s="50">
        <v>0</v>
      </c>
      <c r="J551" s="50">
        <v>0</v>
      </c>
      <c r="K551" s="50">
        <f t="shared" si="24"/>
        <v>0</v>
      </c>
      <c r="L551" s="52">
        <f t="shared" si="25"/>
        <v>0</v>
      </c>
    </row>
    <row r="552" spans="3:12" s="53" customFormat="1" ht="27" customHeight="1">
      <c r="C552" s="46" t="s">
        <v>1591</v>
      </c>
      <c r="D552" s="47" t="s">
        <v>1570</v>
      </c>
      <c r="E552" s="48" t="s">
        <v>1042</v>
      </c>
      <c r="F552" s="48" t="s">
        <v>378</v>
      </c>
      <c r="G552" s="49">
        <v>10</v>
      </c>
      <c r="H552" s="50">
        <v>0</v>
      </c>
      <c r="I552" s="50">
        <v>0</v>
      </c>
      <c r="J552" s="50">
        <v>0</v>
      </c>
      <c r="K552" s="50">
        <f t="shared" si="24"/>
        <v>0</v>
      </c>
      <c r="L552" s="52">
        <f t="shared" si="25"/>
        <v>0</v>
      </c>
    </row>
    <row r="553" spans="3:12" s="53" customFormat="1" ht="27" customHeight="1">
      <c r="C553" s="46" t="s">
        <v>1592</v>
      </c>
      <c r="D553" s="47" t="s">
        <v>1018</v>
      </c>
      <c r="E553" s="48" t="s">
        <v>1865</v>
      </c>
      <c r="F553" s="48" t="s">
        <v>378</v>
      </c>
      <c r="G553" s="49">
        <v>10</v>
      </c>
      <c r="H553" s="50">
        <v>0</v>
      </c>
      <c r="I553" s="50">
        <v>0</v>
      </c>
      <c r="J553" s="50">
        <v>0</v>
      </c>
      <c r="K553" s="50">
        <f t="shared" si="24"/>
        <v>0</v>
      </c>
      <c r="L553" s="52">
        <f t="shared" si="25"/>
        <v>0</v>
      </c>
    </row>
    <row r="554" spans="3:12" s="53" customFormat="1" ht="27" customHeight="1">
      <c r="C554" s="46" t="s">
        <v>1593</v>
      </c>
      <c r="D554" s="47" t="s">
        <v>1484</v>
      </c>
      <c r="E554" s="48" t="s">
        <v>2119</v>
      </c>
      <c r="F554" s="48" t="s">
        <v>378</v>
      </c>
      <c r="G554" s="49">
        <v>1</v>
      </c>
      <c r="H554" s="50">
        <v>0</v>
      </c>
      <c r="I554" s="50">
        <v>0</v>
      </c>
      <c r="J554" s="50">
        <v>0</v>
      </c>
      <c r="K554" s="50">
        <f t="shared" ref="K554:K567" si="26">+H554+I554+J554</f>
        <v>0</v>
      </c>
      <c r="L554" s="52">
        <f t="shared" ref="L554:L567" si="27">+G554*K554</f>
        <v>0</v>
      </c>
    </row>
    <row r="555" spans="3:12" s="53" customFormat="1" ht="27" customHeight="1">
      <c r="C555" s="46" t="s">
        <v>1594</v>
      </c>
      <c r="D555" s="47" t="s">
        <v>1485</v>
      </c>
      <c r="E555" s="48" t="s">
        <v>2119</v>
      </c>
      <c r="F555" s="48" t="s">
        <v>378</v>
      </c>
      <c r="G555" s="49">
        <v>1</v>
      </c>
      <c r="H555" s="50">
        <v>0</v>
      </c>
      <c r="I555" s="50">
        <v>0</v>
      </c>
      <c r="J555" s="50">
        <v>0</v>
      </c>
      <c r="K555" s="50">
        <f t="shared" si="26"/>
        <v>0</v>
      </c>
      <c r="L555" s="52">
        <f t="shared" si="27"/>
        <v>0</v>
      </c>
    </row>
    <row r="556" spans="3:12" s="53" customFormat="1" ht="27" customHeight="1">
      <c r="C556" s="46" t="s">
        <v>1595</v>
      </c>
      <c r="D556" s="47" t="s">
        <v>1571</v>
      </c>
      <c r="E556" s="48" t="s">
        <v>1599</v>
      </c>
      <c r="F556" s="48" t="s">
        <v>378</v>
      </c>
      <c r="G556" s="49">
        <v>1</v>
      </c>
      <c r="H556" s="50">
        <v>0</v>
      </c>
      <c r="I556" s="50">
        <v>0</v>
      </c>
      <c r="J556" s="50">
        <v>0</v>
      </c>
      <c r="K556" s="50">
        <f t="shared" si="26"/>
        <v>0</v>
      </c>
      <c r="L556" s="52">
        <f t="shared" si="27"/>
        <v>0</v>
      </c>
    </row>
    <row r="557" spans="3:12" s="53" customFormat="1" ht="27" customHeight="1">
      <c r="C557" s="46" t="s">
        <v>1596</v>
      </c>
      <c r="D557" s="47" t="s">
        <v>1572</v>
      </c>
      <c r="E557" s="48" t="s">
        <v>1599</v>
      </c>
      <c r="F557" s="48" t="s">
        <v>378</v>
      </c>
      <c r="G557" s="49">
        <v>2</v>
      </c>
      <c r="H557" s="50">
        <v>0</v>
      </c>
      <c r="I557" s="50">
        <v>0</v>
      </c>
      <c r="J557" s="50">
        <v>0</v>
      </c>
      <c r="K557" s="50">
        <f t="shared" si="26"/>
        <v>0</v>
      </c>
      <c r="L557" s="52">
        <f t="shared" si="27"/>
        <v>0</v>
      </c>
    </row>
    <row r="558" spans="3:12" s="53" customFormat="1" ht="27" customHeight="1">
      <c r="C558" s="46" t="s">
        <v>1597</v>
      </c>
      <c r="D558" s="47" t="s">
        <v>1861</v>
      </c>
      <c r="E558" s="48" t="s">
        <v>1514</v>
      </c>
      <c r="F558" s="48" t="s">
        <v>2122</v>
      </c>
      <c r="G558" s="49">
        <v>30</v>
      </c>
      <c r="H558" s="50">
        <v>0</v>
      </c>
      <c r="I558" s="50">
        <v>0</v>
      </c>
      <c r="J558" s="50">
        <v>0</v>
      </c>
      <c r="K558" s="50">
        <f t="shared" si="26"/>
        <v>0</v>
      </c>
      <c r="L558" s="52">
        <f t="shared" si="27"/>
        <v>0</v>
      </c>
    </row>
    <row r="559" spans="3:12" s="53" customFormat="1" ht="27" customHeight="1">
      <c r="C559" s="46" t="s">
        <v>1598</v>
      </c>
      <c r="D559" s="47" t="s">
        <v>2140</v>
      </c>
      <c r="E559" s="48" t="s">
        <v>2172</v>
      </c>
      <c r="F559" s="48" t="s">
        <v>26</v>
      </c>
      <c r="G559" s="49">
        <v>1</v>
      </c>
      <c r="H559" s="50">
        <v>0</v>
      </c>
      <c r="I559" s="50">
        <v>0</v>
      </c>
      <c r="J559" s="50">
        <v>0</v>
      </c>
      <c r="K559" s="50">
        <f t="shared" si="26"/>
        <v>0</v>
      </c>
      <c r="L559" s="52">
        <f t="shared" si="27"/>
        <v>0</v>
      </c>
    </row>
    <row r="560" spans="3:12" s="53" customFormat="1" ht="27" customHeight="1">
      <c r="C560" s="46"/>
      <c r="D560" s="47"/>
      <c r="E560" s="48"/>
      <c r="F560" s="48"/>
      <c r="G560" s="49"/>
      <c r="H560" s="50"/>
      <c r="I560" s="50"/>
      <c r="J560" s="50"/>
      <c r="K560" s="50"/>
      <c r="L560" s="52"/>
    </row>
    <row r="561" spans="3:12" s="53" customFormat="1" ht="27" customHeight="1">
      <c r="C561" s="207" t="s">
        <v>1600</v>
      </c>
      <c r="D561" s="159" t="s">
        <v>2272</v>
      </c>
      <c r="E561" s="48"/>
      <c r="F561" s="48"/>
      <c r="G561" s="49"/>
      <c r="H561" s="50"/>
      <c r="I561" s="50"/>
      <c r="J561" s="50"/>
      <c r="K561" s="50"/>
      <c r="L561" s="52"/>
    </row>
    <row r="562" spans="3:12" s="53" customFormat="1" ht="27" customHeight="1">
      <c r="C562" s="46"/>
      <c r="D562" s="47"/>
      <c r="E562" s="48"/>
      <c r="F562" s="48"/>
      <c r="G562" s="49"/>
      <c r="H562" s="50"/>
      <c r="I562" s="50"/>
      <c r="J562" s="50"/>
      <c r="K562" s="50"/>
      <c r="L562" s="52"/>
    </row>
    <row r="563" spans="3:12" s="53" customFormat="1" ht="27" customHeight="1">
      <c r="C563" s="46" t="s">
        <v>1617</v>
      </c>
      <c r="D563" s="47" t="s">
        <v>2225</v>
      </c>
      <c r="E563" s="48" t="s">
        <v>351</v>
      </c>
      <c r="F563" s="48" t="s">
        <v>378</v>
      </c>
      <c r="G563" s="49">
        <v>1</v>
      </c>
      <c r="H563" s="50">
        <v>0</v>
      </c>
      <c r="I563" s="50">
        <v>0</v>
      </c>
      <c r="J563" s="50">
        <v>0</v>
      </c>
      <c r="K563" s="50">
        <f t="shared" si="26"/>
        <v>0</v>
      </c>
      <c r="L563" s="52">
        <f t="shared" si="27"/>
        <v>0</v>
      </c>
    </row>
    <row r="564" spans="3:12" s="53" customFormat="1" ht="27" customHeight="1">
      <c r="C564" s="46" t="s">
        <v>1620</v>
      </c>
      <c r="D564" s="47" t="s">
        <v>1601</v>
      </c>
      <c r="E564" s="48" t="s">
        <v>351</v>
      </c>
      <c r="F564" s="48" t="s">
        <v>378</v>
      </c>
      <c r="G564" s="49">
        <v>1</v>
      </c>
      <c r="H564" s="50">
        <v>0</v>
      </c>
      <c r="I564" s="50">
        <v>0</v>
      </c>
      <c r="J564" s="50">
        <v>0</v>
      </c>
      <c r="K564" s="50">
        <f t="shared" si="26"/>
        <v>0</v>
      </c>
      <c r="L564" s="52">
        <f t="shared" si="27"/>
        <v>0</v>
      </c>
    </row>
    <row r="565" spans="3:12" s="53" customFormat="1" ht="27" customHeight="1">
      <c r="C565" s="46" t="s">
        <v>1621</v>
      </c>
      <c r="D565" s="47" t="s">
        <v>1602</v>
      </c>
      <c r="E565" s="48" t="s">
        <v>351</v>
      </c>
      <c r="F565" s="48" t="s">
        <v>378</v>
      </c>
      <c r="G565" s="49">
        <v>1</v>
      </c>
      <c r="H565" s="50">
        <v>0</v>
      </c>
      <c r="I565" s="50">
        <v>0</v>
      </c>
      <c r="J565" s="50">
        <v>0</v>
      </c>
      <c r="K565" s="50">
        <f t="shared" si="26"/>
        <v>0</v>
      </c>
      <c r="L565" s="52">
        <f t="shared" si="27"/>
        <v>0</v>
      </c>
    </row>
    <row r="566" spans="3:12" s="53" customFormat="1" ht="27" customHeight="1">
      <c r="C566" s="46" t="s">
        <v>1619</v>
      </c>
      <c r="D566" s="47" t="s">
        <v>1603</v>
      </c>
      <c r="E566" s="48" t="s">
        <v>2118</v>
      </c>
      <c r="F566" s="48" t="s">
        <v>378</v>
      </c>
      <c r="G566" s="49">
        <v>1</v>
      </c>
      <c r="H566" s="50">
        <v>0</v>
      </c>
      <c r="I566" s="50">
        <v>0</v>
      </c>
      <c r="J566" s="50">
        <v>0</v>
      </c>
      <c r="K566" s="50">
        <f t="shared" si="26"/>
        <v>0</v>
      </c>
      <c r="L566" s="52">
        <f t="shared" si="27"/>
        <v>0</v>
      </c>
    </row>
    <row r="567" spans="3:12" s="53" customFormat="1" ht="27" customHeight="1">
      <c r="C567" s="46" t="s">
        <v>1622</v>
      </c>
      <c r="D567" s="47" t="s">
        <v>1604</v>
      </c>
      <c r="E567" s="48" t="s">
        <v>1512</v>
      </c>
      <c r="F567" s="48" t="s">
        <v>378</v>
      </c>
      <c r="G567" s="49">
        <v>3</v>
      </c>
      <c r="H567" s="50">
        <v>0</v>
      </c>
      <c r="I567" s="50">
        <v>0</v>
      </c>
      <c r="J567" s="50">
        <v>0</v>
      </c>
      <c r="K567" s="50">
        <f t="shared" si="26"/>
        <v>0</v>
      </c>
      <c r="L567" s="52">
        <f t="shared" si="27"/>
        <v>0</v>
      </c>
    </row>
    <row r="568" spans="3:12" s="53" customFormat="1" ht="27" customHeight="1">
      <c r="C568" s="46" t="s">
        <v>1618</v>
      </c>
      <c r="D568" s="47" t="s">
        <v>1182</v>
      </c>
      <c r="E568" s="48" t="s">
        <v>1188</v>
      </c>
      <c r="F568" s="48" t="s">
        <v>378</v>
      </c>
      <c r="G568" s="49">
        <v>1</v>
      </c>
      <c r="H568" s="50">
        <v>0</v>
      </c>
      <c r="I568" s="50">
        <v>0</v>
      </c>
      <c r="J568" s="50">
        <v>0</v>
      </c>
      <c r="K568" s="50">
        <f t="shared" ref="K568:K581" si="28">+H568+I568+J568</f>
        <v>0</v>
      </c>
      <c r="L568" s="52">
        <f t="shared" ref="L568:L581" si="29">+G568*K568</f>
        <v>0</v>
      </c>
    </row>
    <row r="569" spans="3:12" s="53" customFormat="1" ht="27" customHeight="1">
      <c r="C569" s="46" t="s">
        <v>1623</v>
      </c>
      <c r="D569" s="47" t="s">
        <v>1605</v>
      </c>
      <c r="E569" s="48" t="s">
        <v>1188</v>
      </c>
      <c r="F569" s="48" t="s">
        <v>378</v>
      </c>
      <c r="G569" s="49">
        <v>1</v>
      </c>
      <c r="H569" s="50">
        <v>0</v>
      </c>
      <c r="I569" s="50">
        <v>0</v>
      </c>
      <c r="J569" s="50">
        <v>0</v>
      </c>
      <c r="K569" s="50">
        <f t="shared" si="28"/>
        <v>0</v>
      </c>
      <c r="L569" s="52">
        <f t="shared" si="29"/>
        <v>0</v>
      </c>
    </row>
    <row r="570" spans="3:12" s="53" customFormat="1" ht="27" customHeight="1">
      <c r="C570" s="46" t="s">
        <v>1624</v>
      </c>
      <c r="D570" s="47" t="s">
        <v>1018</v>
      </c>
      <c r="E570" s="48" t="s">
        <v>1865</v>
      </c>
      <c r="F570" s="48" t="s">
        <v>378</v>
      </c>
      <c r="G570" s="49">
        <v>3</v>
      </c>
      <c r="H570" s="50">
        <v>0</v>
      </c>
      <c r="I570" s="50">
        <v>0</v>
      </c>
      <c r="J570" s="50">
        <v>0</v>
      </c>
      <c r="K570" s="50">
        <f t="shared" si="28"/>
        <v>0</v>
      </c>
      <c r="L570" s="52">
        <f t="shared" si="29"/>
        <v>0</v>
      </c>
    </row>
    <row r="571" spans="3:12" s="53" customFormat="1" ht="27" customHeight="1">
      <c r="C571" s="46" t="s">
        <v>1625</v>
      </c>
      <c r="D571" s="47" t="s">
        <v>1019</v>
      </c>
      <c r="E571" s="48" t="s">
        <v>351</v>
      </c>
      <c r="F571" s="48" t="s">
        <v>378</v>
      </c>
      <c r="G571" s="49">
        <v>3</v>
      </c>
      <c r="H571" s="50">
        <v>0</v>
      </c>
      <c r="I571" s="50">
        <v>0</v>
      </c>
      <c r="J571" s="50">
        <v>0</v>
      </c>
      <c r="K571" s="50">
        <f t="shared" si="28"/>
        <v>0</v>
      </c>
      <c r="L571" s="52">
        <f t="shared" si="29"/>
        <v>0</v>
      </c>
    </row>
    <row r="572" spans="3:12" s="53" customFormat="1" ht="27" customHeight="1">
      <c r="C572" s="46" t="s">
        <v>1626</v>
      </c>
      <c r="D572" s="47" t="s">
        <v>1184</v>
      </c>
      <c r="E572" s="48" t="s">
        <v>354</v>
      </c>
      <c r="F572" s="48" t="s">
        <v>378</v>
      </c>
      <c r="G572" s="49">
        <v>1</v>
      </c>
      <c r="H572" s="50">
        <v>0</v>
      </c>
      <c r="I572" s="50">
        <v>0</v>
      </c>
      <c r="J572" s="50">
        <v>0</v>
      </c>
      <c r="K572" s="50">
        <f t="shared" si="28"/>
        <v>0</v>
      </c>
      <c r="L572" s="52">
        <f t="shared" si="29"/>
        <v>0</v>
      </c>
    </row>
    <row r="573" spans="3:12" s="53" customFormat="1" ht="27" customHeight="1">
      <c r="C573" s="46" t="s">
        <v>1627</v>
      </c>
      <c r="D573" s="47" t="s">
        <v>1185</v>
      </c>
      <c r="E573" s="48" t="s">
        <v>354</v>
      </c>
      <c r="F573" s="48" t="s">
        <v>378</v>
      </c>
      <c r="G573" s="49">
        <v>3</v>
      </c>
      <c r="H573" s="50">
        <v>0</v>
      </c>
      <c r="I573" s="50">
        <v>0</v>
      </c>
      <c r="J573" s="50">
        <v>0</v>
      </c>
      <c r="K573" s="50">
        <f t="shared" si="28"/>
        <v>0</v>
      </c>
      <c r="L573" s="52">
        <f t="shared" si="29"/>
        <v>0</v>
      </c>
    </row>
    <row r="574" spans="3:12" s="53" customFormat="1" ht="27" customHeight="1">
      <c r="C574" s="46" t="s">
        <v>1628</v>
      </c>
      <c r="D574" s="47" t="s">
        <v>1478</v>
      </c>
      <c r="E574" s="48" t="s">
        <v>2125</v>
      </c>
      <c r="F574" s="48" t="s">
        <v>378</v>
      </c>
      <c r="G574" s="49">
        <v>1</v>
      </c>
      <c r="H574" s="50">
        <v>0</v>
      </c>
      <c r="I574" s="50">
        <v>0</v>
      </c>
      <c r="J574" s="50">
        <v>0</v>
      </c>
      <c r="K574" s="50">
        <f t="shared" si="28"/>
        <v>0</v>
      </c>
      <c r="L574" s="52">
        <f t="shared" si="29"/>
        <v>0</v>
      </c>
    </row>
    <row r="575" spans="3:12" s="53" customFormat="1" ht="27" customHeight="1">
      <c r="C575" s="46" t="s">
        <v>1629</v>
      </c>
      <c r="D575" s="47" t="s">
        <v>1606</v>
      </c>
      <c r="E575" s="48" t="s">
        <v>1651</v>
      </c>
      <c r="F575" s="48" t="s">
        <v>378</v>
      </c>
      <c r="G575" s="49">
        <v>1</v>
      </c>
      <c r="H575" s="50">
        <v>0</v>
      </c>
      <c r="I575" s="50">
        <v>0</v>
      </c>
      <c r="J575" s="50">
        <v>0</v>
      </c>
      <c r="K575" s="50">
        <f t="shared" si="28"/>
        <v>0</v>
      </c>
      <c r="L575" s="52">
        <f t="shared" si="29"/>
        <v>0</v>
      </c>
    </row>
    <row r="576" spans="3:12" s="53" customFormat="1" ht="27" customHeight="1">
      <c r="C576" s="46" t="s">
        <v>1630</v>
      </c>
      <c r="D576" s="47" t="s">
        <v>1607</v>
      </c>
      <c r="E576" s="48" t="s">
        <v>351</v>
      </c>
      <c r="F576" s="48" t="s">
        <v>378</v>
      </c>
      <c r="G576" s="49">
        <v>3</v>
      </c>
      <c r="H576" s="50">
        <v>0</v>
      </c>
      <c r="I576" s="50">
        <v>0</v>
      </c>
      <c r="J576" s="50">
        <v>0</v>
      </c>
      <c r="K576" s="50">
        <f t="shared" si="28"/>
        <v>0</v>
      </c>
      <c r="L576" s="52">
        <f t="shared" si="29"/>
        <v>0</v>
      </c>
    </row>
    <row r="577" spans="3:12" s="53" customFormat="1" ht="27" customHeight="1">
      <c r="C577" s="46" t="s">
        <v>1631</v>
      </c>
      <c r="D577" s="47" t="s">
        <v>1608</v>
      </c>
      <c r="E577" s="48" t="s">
        <v>351</v>
      </c>
      <c r="F577" s="48" t="s">
        <v>378</v>
      </c>
      <c r="G577" s="49">
        <v>1</v>
      </c>
      <c r="H577" s="50">
        <v>0</v>
      </c>
      <c r="I577" s="50">
        <v>0</v>
      </c>
      <c r="J577" s="50">
        <v>0</v>
      </c>
      <c r="K577" s="50">
        <f t="shared" si="28"/>
        <v>0</v>
      </c>
      <c r="L577" s="52">
        <f t="shared" si="29"/>
        <v>0</v>
      </c>
    </row>
    <row r="578" spans="3:12" s="53" customFormat="1" ht="27" customHeight="1">
      <c r="C578" s="46" t="s">
        <v>1632</v>
      </c>
      <c r="D578" s="47" t="s">
        <v>1609</v>
      </c>
      <c r="E578" s="48" t="s">
        <v>351</v>
      </c>
      <c r="F578" s="48" t="s">
        <v>378</v>
      </c>
      <c r="G578" s="49">
        <v>1</v>
      </c>
      <c r="H578" s="50">
        <v>0</v>
      </c>
      <c r="I578" s="50">
        <v>0</v>
      </c>
      <c r="J578" s="50">
        <v>0</v>
      </c>
      <c r="K578" s="50">
        <f t="shared" si="28"/>
        <v>0</v>
      </c>
      <c r="L578" s="52">
        <f t="shared" si="29"/>
        <v>0</v>
      </c>
    </row>
    <row r="579" spans="3:12" s="53" customFormat="1" ht="27" customHeight="1">
      <c r="C579" s="46" t="s">
        <v>1633</v>
      </c>
      <c r="D579" s="47" t="s">
        <v>1520</v>
      </c>
      <c r="E579" s="48" t="s">
        <v>351</v>
      </c>
      <c r="F579" s="48" t="s">
        <v>378</v>
      </c>
      <c r="G579" s="49">
        <v>2</v>
      </c>
      <c r="H579" s="50">
        <v>0</v>
      </c>
      <c r="I579" s="50">
        <v>0</v>
      </c>
      <c r="J579" s="50">
        <v>0</v>
      </c>
      <c r="K579" s="50">
        <f t="shared" si="28"/>
        <v>0</v>
      </c>
      <c r="L579" s="52">
        <f t="shared" si="29"/>
        <v>0</v>
      </c>
    </row>
    <row r="580" spans="3:12" s="53" customFormat="1" ht="27" customHeight="1">
      <c r="C580" s="46" t="s">
        <v>1634</v>
      </c>
      <c r="D580" s="47" t="s">
        <v>1610</v>
      </c>
      <c r="E580" s="48" t="s">
        <v>1512</v>
      </c>
      <c r="F580" s="48" t="s">
        <v>378</v>
      </c>
      <c r="G580" s="49">
        <v>9</v>
      </c>
      <c r="H580" s="50">
        <v>0</v>
      </c>
      <c r="I580" s="50">
        <v>0</v>
      </c>
      <c r="J580" s="50">
        <v>0</v>
      </c>
      <c r="K580" s="50">
        <f t="shared" si="28"/>
        <v>0</v>
      </c>
      <c r="L580" s="52">
        <f t="shared" si="29"/>
        <v>0</v>
      </c>
    </row>
    <row r="581" spans="3:12" s="53" customFormat="1" ht="27" customHeight="1">
      <c r="C581" s="46" t="s">
        <v>1635</v>
      </c>
      <c r="D581" s="47" t="s">
        <v>1611</v>
      </c>
      <c r="E581" s="48" t="s">
        <v>1512</v>
      </c>
      <c r="F581" s="48" t="s">
        <v>378</v>
      </c>
      <c r="G581" s="49">
        <v>3</v>
      </c>
      <c r="H581" s="50">
        <v>0</v>
      </c>
      <c r="I581" s="50">
        <v>0</v>
      </c>
      <c r="J581" s="50">
        <v>0</v>
      </c>
      <c r="K581" s="50">
        <f t="shared" si="28"/>
        <v>0</v>
      </c>
      <c r="L581" s="52">
        <f t="shared" si="29"/>
        <v>0</v>
      </c>
    </row>
    <row r="582" spans="3:12" s="53" customFormat="1" ht="27" customHeight="1">
      <c r="C582" s="46" t="s">
        <v>1636</v>
      </c>
      <c r="D582" s="47" t="s">
        <v>1612</v>
      </c>
      <c r="E582" s="48" t="s">
        <v>1512</v>
      </c>
      <c r="F582" s="48" t="s">
        <v>378</v>
      </c>
      <c r="G582" s="49">
        <v>9</v>
      </c>
      <c r="H582" s="50">
        <v>0</v>
      </c>
      <c r="I582" s="50">
        <v>0</v>
      </c>
      <c r="J582" s="50">
        <v>0</v>
      </c>
      <c r="K582" s="50">
        <f t="shared" ref="K582:K595" si="30">+H582+I582+J582</f>
        <v>0</v>
      </c>
      <c r="L582" s="52">
        <f t="shared" ref="L582:L595" si="31">+G582*K582</f>
        <v>0</v>
      </c>
    </row>
    <row r="583" spans="3:12" s="53" customFormat="1" ht="27" customHeight="1">
      <c r="C583" s="46" t="s">
        <v>1637</v>
      </c>
      <c r="D583" s="47" t="s">
        <v>1520</v>
      </c>
      <c r="E583" s="48" t="s">
        <v>351</v>
      </c>
      <c r="F583" s="48" t="s">
        <v>378</v>
      </c>
      <c r="G583" s="49">
        <v>32</v>
      </c>
      <c r="H583" s="50">
        <v>0</v>
      </c>
      <c r="I583" s="50">
        <v>0</v>
      </c>
      <c r="J583" s="50">
        <v>0</v>
      </c>
      <c r="K583" s="50">
        <f t="shared" si="30"/>
        <v>0</v>
      </c>
      <c r="L583" s="52">
        <f t="shared" si="31"/>
        <v>0</v>
      </c>
    </row>
    <row r="584" spans="3:12" s="53" customFormat="1" ht="27" customHeight="1">
      <c r="C584" s="46" t="s">
        <v>1638</v>
      </c>
      <c r="D584" s="47" t="s">
        <v>1613</v>
      </c>
      <c r="E584" s="48" t="s">
        <v>351</v>
      </c>
      <c r="F584" s="48" t="s">
        <v>378</v>
      </c>
      <c r="G584" s="49">
        <v>10</v>
      </c>
      <c r="H584" s="50">
        <v>0</v>
      </c>
      <c r="I584" s="50">
        <v>0</v>
      </c>
      <c r="J584" s="50">
        <v>0</v>
      </c>
      <c r="K584" s="50">
        <f t="shared" si="30"/>
        <v>0</v>
      </c>
      <c r="L584" s="52">
        <f t="shared" si="31"/>
        <v>0</v>
      </c>
    </row>
    <row r="585" spans="3:12" s="53" customFormat="1" ht="27" customHeight="1">
      <c r="C585" s="46" t="s">
        <v>1639</v>
      </c>
      <c r="D585" s="47" t="s">
        <v>1521</v>
      </c>
      <c r="E585" s="48" t="s">
        <v>351</v>
      </c>
      <c r="F585" s="48" t="s">
        <v>378</v>
      </c>
      <c r="G585" s="49">
        <v>16</v>
      </c>
      <c r="H585" s="50">
        <v>0</v>
      </c>
      <c r="I585" s="50">
        <v>0</v>
      </c>
      <c r="J585" s="50">
        <v>0</v>
      </c>
      <c r="K585" s="50">
        <f t="shared" si="30"/>
        <v>0</v>
      </c>
      <c r="L585" s="52">
        <f t="shared" si="31"/>
        <v>0</v>
      </c>
    </row>
    <row r="586" spans="3:12" s="53" customFormat="1" ht="27" customHeight="1">
      <c r="C586" s="46" t="s">
        <v>1640</v>
      </c>
      <c r="D586" s="47" t="s">
        <v>1181</v>
      </c>
      <c r="E586" s="48" t="s">
        <v>351</v>
      </c>
      <c r="F586" s="48" t="s">
        <v>378</v>
      </c>
      <c r="G586" s="49">
        <v>7</v>
      </c>
      <c r="H586" s="50">
        <v>0</v>
      </c>
      <c r="I586" s="50">
        <v>0</v>
      </c>
      <c r="J586" s="50">
        <v>0</v>
      </c>
      <c r="K586" s="50">
        <f t="shared" si="30"/>
        <v>0</v>
      </c>
      <c r="L586" s="52">
        <f t="shared" si="31"/>
        <v>0</v>
      </c>
    </row>
    <row r="587" spans="3:12" s="53" customFormat="1" ht="27" customHeight="1">
      <c r="C587" s="46" t="s">
        <v>1641</v>
      </c>
      <c r="D587" s="47" t="s">
        <v>1182</v>
      </c>
      <c r="E587" s="48" t="s">
        <v>1188</v>
      </c>
      <c r="F587" s="48" t="s">
        <v>378</v>
      </c>
      <c r="G587" s="49">
        <v>7</v>
      </c>
      <c r="H587" s="50">
        <v>0</v>
      </c>
      <c r="I587" s="50">
        <v>0</v>
      </c>
      <c r="J587" s="50">
        <v>0</v>
      </c>
      <c r="K587" s="50">
        <f t="shared" si="30"/>
        <v>0</v>
      </c>
      <c r="L587" s="52">
        <f t="shared" si="31"/>
        <v>0</v>
      </c>
    </row>
    <row r="588" spans="3:12" s="53" customFormat="1" ht="27" customHeight="1">
      <c r="C588" s="46" t="s">
        <v>1642</v>
      </c>
      <c r="D588" s="47" t="s">
        <v>1183</v>
      </c>
      <c r="E588" s="48" t="s">
        <v>1188</v>
      </c>
      <c r="F588" s="48" t="s">
        <v>378</v>
      </c>
      <c r="G588" s="49">
        <v>7</v>
      </c>
      <c r="H588" s="50">
        <v>0</v>
      </c>
      <c r="I588" s="50">
        <v>0</v>
      </c>
      <c r="J588" s="50">
        <v>0</v>
      </c>
      <c r="K588" s="50">
        <f t="shared" si="30"/>
        <v>0</v>
      </c>
      <c r="L588" s="52">
        <f t="shared" si="31"/>
        <v>0</v>
      </c>
    </row>
    <row r="589" spans="3:12" s="53" customFormat="1" ht="27" customHeight="1">
      <c r="C589" s="46" t="s">
        <v>1643</v>
      </c>
      <c r="D589" s="47" t="s">
        <v>1614</v>
      </c>
      <c r="E589" s="48" t="s">
        <v>351</v>
      </c>
      <c r="F589" s="48" t="s">
        <v>378</v>
      </c>
      <c r="G589" s="49">
        <v>16</v>
      </c>
      <c r="H589" s="50">
        <v>0</v>
      </c>
      <c r="I589" s="50">
        <v>0</v>
      </c>
      <c r="J589" s="50">
        <v>0</v>
      </c>
      <c r="K589" s="50">
        <f t="shared" si="30"/>
        <v>0</v>
      </c>
      <c r="L589" s="52">
        <f t="shared" si="31"/>
        <v>0</v>
      </c>
    </row>
    <row r="590" spans="3:12" s="53" customFormat="1" ht="27" customHeight="1">
      <c r="C590" s="46" t="s">
        <v>1644</v>
      </c>
      <c r="D590" s="47" t="s">
        <v>2239</v>
      </c>
      <c r="E590" s="48" t="s">
        <v>351</v>
      </c>
      <c r="F590" s="48" t="s">
        <v>378</v>
      </c>
      <c r="G590" s="49">
        <v>5</v>
      </c>
      <c r="H590" s="50">
        <v>0</v>
      </c>
      <c r="I590" s="50">
        <v>0</v>
      </c>
      <c r="J590" s="50">
        <v>0</v>
      </c>
      <c r="K590" s="50">
        <f t="shared" si="30"/>
        <v>0</v>
      </c>
      <c r="L590" s="52">
        <f t="shared" si="31"/>
        <v>0</v>
      </c>
    </row>
    <row r="591" spans="3:12" s="53" customFormat="1" ht="27" customHeight="1">
      <c r="C591" s="46" t="s">
        <v>1645</v>
      </c>
      <c r="D591" s="47" t="s">
        <v>2240</v>
      </c>
      <c r="E591" s="48" t="s">
        <v>351</v>
      </c>
      <c r="F591" s="48" t="s">
        <v>378</v>
      </c>
      <c r="G591" s="49">
        <v>8</v>
      </c>
      <c r="H591" s="50">
        <v>0</v>
      </c>
      <c r="I591" s="50">
        <v>0</v>
      </c>
      <c r="J591" s="50">
        <v>0</v>
      </c>
      <c r="K591" s="50">
        <f t="shared" si="30"/>
        <v>0</v>
      </c>
      <c r="L591" s="52">
        <f t="shared" si="31"/>
        <v>0</v>
      </c>
    </row>
    <row r="592" spans="3:12" s="53" customFormat="1" ht="27" customHeight="1">
      <c r="C592" s="46" t="s">
        <v>1646</v>
      </c>
      <c r="D592" s="47" t="s">
        <v>1615</v>
      </c>
      <c r="E592" s="136" t="s">
        <v>2124</v>
      </c>
      <c r="F592" s="48" t="s">
        <v>26</v>
      </c>
      <c r="G592" s="49">
        <v>36</v>
      </c>
      <c r="H592" s="50">
        <v>0</v>
      </c>
      <c r="I592" s="50">
        <v>0</v>
      </c>
      <c r="J592" s="50">
        <v>0</v>
      </c>
      <c r="K592" s="50">
        <f t="shared" si="30"/>
        <v>0</v>
      </c>
      <c r="L592" s="52">
        <f t="shared" si="31"/>
        <v>0</v>
      </c>
    </row>
    <row r="593" spans="3:12" s="53" customFormat="1" ht="27" customHeight="1">
      <c r="C593" s="46" t="s">
        <v>1647</v>
      </c>
      <c r="D593" s="47" t="s">
        <v>1475</v>
      </c>
      <c r="E593" s="48" t="s">
        <v>1864</v>
      </c>
      <c r="F593" s="48" t="s">
        <v>378</v>
      </c>
      <c r="G593" s="49">
        <v>7</v>
      </c>
      <c r="H593" s="50">
        <v>0</v>
      </c>
      <c r="I593" s="50">
        <v>0</v>
      </c>
      <c r="J593" s="50">
        <v>0</v>
      </c>
      <c r="K593" s="50">
        <f t="shared" si="30"/>
        <v>0</v>
      </c>
      <c r="L593" s="52">
        <f t="shared" si="31"/>
        <v>0</v>
      </c>
    </row>
    <row r="594" spans="3:12" s="53" customFormat="1" ht="27" customHeight="1">
      <c r="C594" s="46" t="s">
        <v>1648</v>
      </c>
      <c r="D594" s="47" t="s">
        <v>1616</v>
      </c>
      <c r="E594" s="48" t="s">
        <v>1864</v>
      </c>
      <c r="F594" s="48" t="s">
        <v>378</v>
      </c>
      <c r="G594" s="49">
        <v>29</v>
      </c>
      <c r="H594" s="50">
        <v>0</v>
      </c>
      <c r="I594" s="50">
        <v>0</v>
      </c>
      <c r="J594" s="50">
        <v>0</v>
      </c>
      <c r="K594" s="50">
        <f t="shared" si="30"/>
        <v>0</v>
      </c>
      <c r="L594" s="52">
        <f t="shared" si="31"/>
        <v>0</v>
      </c>
    </row>
    <row r="595" spans="3:12" s="53" customFormat="1" ht="27" customHeight="1">
      <c r="C595" s="46" t="s">
        <v>1649</v>
      </c>
      <c r="D595" s="47" t="s">
        <v>1862</v>
      </c>
      <c r="E595" s="48" t="s">
        <v>1514</v>
      </c>
      <c r="F595" s="48" t="s">
        <v>485</v>
      </c>
      <c r="G595" s="49">
        <v>500</v>
      </c>
      <c r="H595" s="50">
        <v>0</v>
      </c>
      <c r="I595" s="50">
        <v>0</v>
      </c>
      <c r="J595" s="50">
        <v>0</v>
      </c>
      <c r="K595" s="50">
        <f t="shared" si="30"/>
        <v>0</v>
      </c>
      <c r="L595" s="52">
        <f t="shared" si="31"/>
        <v>0</v>
      </c>
    </row>
    <row r="596" spans="3:12" s="53" customFormat="1" ht="27" customHeight="1">
      <c r="C596" s="46" t="s">
        <v>1650</v>
      </c>
      <c r="D596" s="47" t="s">
        <v>2141</v>
      </c>
      <c r="E596" s="48" t="s">
        <v>2172</v>
      </c>
      <c r="F596" s="48" t="s">
        <v>26</v>
      </c>
      <c r="G596" s="49">
        <v>1</v>
      </c>
      <c r="H596" s="50">
        <v>0</v>
      </c>
      <c r="I596" s="50">
        <v>0</v>
      </c>
      <c r="J596" s="50">
        <v>0</v>
      </c>
      <c r="K596" s="50">
        <f t="shared" ref="K596:K609" si="32">+H596+I596+J596</f>
        <v>0</v>
      </c>
      <c r="L596" s="52">
        <f t="shared" ref="L596:L609" si="33">+G596*K596</f>
        <v>0</v>
      </c>
    </row>
    <row r="597" spans="3:12" s="53" customFormat="1" ht="27" customHeight="1">
      <c r="C597" s="46"/>
      <c r="D597" s="47"/>
      <c r="E597" s="48"/>
      <c r="F597" s="48"/>
      <c r="G597" s="49"/>
      <c r="H597" s="50"/>
      <c r="I597" s="50"/>
      <c r="J597" s="50"/>
      <c r="K597" s="50"/>
      <c r="L597" s="52"/>
    </row>
    <row r="598" spans="3:12" s="53" customFormat="1" ht="27" customHeight="1">
      <c r="C598" s="207" t="s">
        <v>1652</v>
      </c>
      <c r="D598" s="159" t="s">
        <v>2273</v>
      </c>
      <c r="E598" s="48"/>
      <c r="F598" s="48"/>
      <c r="G598" s="49"/>
      <c r="H598" s="50"/>
      <c r="I598" s="50"/>
      <c r="J598" s="50"/>
      <c r="K598" s="50"/>
      <c r="L598" s="52"/>
    </row>
    <row r="599" spans="3:12" s="53" customFormat="1" ht="27" customHeight="1">
      <c r="C599" s="46"/>
      <c r="D599" s="47"/>
      <c r="E599" s="48"/>
      <c r="F599" s="48"/>
      <c r="G599" s="49"/>
      <c r="H599" s="50"/>
      <c r="I599" s="50"/>
      <c r="J599" s="50"/>
      <c r="K599" s="50"/>
      <c r="L599" s="52"/>
    </row>
    <row r="600" spans="3:12" s="53" customFormat="1" ht="27" customHeight="1">
      <c r="C600" s="46" t="s">
        <v>1655</v>
      </c>
      <c r="D600" s="47" t="s">
        <v>2225</v>
      </c>
      <c r="E600" s="48" t="s">
        <v>351</v>
      </c>
      <c r="F600" s="48" t="s">
        <v>378</v>
      </c>
      <c r="G600" s="49">
        <v>1</v>
      </c>
      <c r="H600" s="50">
        <v>0</v>
      </c>
      <c r="I600" s="50">
        <v>0</v>
      </c>
      <c r="J600" s="50">
        <v>0</v>
      </c>
      <c r="K600" s="50">
        <f t="shared" si="32"/>
        <v>0</v>
      </c>
      <c r="L600" s="52">
        <f t="shared" si="33"/>
        <v>0</v>
      </c>
    </row>
    <row r="601" spans="3:12" s="53" customFormat="1" ht="27" customHeight="1">
      <c r="C601" s="46" t="s">
        <v>1657</v>
      </c>
      <c r="D601" s="47" t="s">
        <v>1601</v>
      </c>
      <c r="E601" s="48" t="s">
        <v>351</v>
      </c>
      <c r="F601" s="48" t="s">
        <v>378</v>
      </c>
      <c r="G601" s="49">
        <v>1</v>
      </c>
      <c r="H601" s="50">
        <v>0</v>
      </c>
      <c r="I601" s="50">
        <v>0</v>
      </c>
      <c r="J601" s="50">
        <v>0</v>
      </c>
      <c r="K601" s="50">
        <f t="shared" si="32"/>
        <v>0</v>
      </c>
      <c r="L601" s="52">
        <f t="shared" si="33"/>
        <v>0</v>
      </c>
    </row>
    <row r="602" spans="3:12" s="53" customFormat="1" ht="27" customHeight="1">
      <c r="C602" s="46" t="s">
        <v>1658</v>
      </c>
      <c r="D602" s="47" t="s">
        <v>1602</v>
      </c>
      <c r="E602" s="48" t="s">
        <v>351</v>
      </c>
      <c r="F602" s="48" t="s">
        <v>378</v>
      </c>
      <c r="G602" s="49">
        <v>1</v>
      </c>
      <c r="H602" s="50">
        <v>0</v>
      </c>
      <c r="I602" s="50">
        <v>0</v>
      </c>
      <c r="J602" s="50">
        <v>0</v>
      </c>
      <c r="K602" s="50">
        <f t="shared" si="32"/>
        <v>0</v>
      </c>
      <c r="L602" s="52">
        <f t="shared" si="33"/>
        <v>0</v>
      </c>
    </row>
    <row r="603" spans="3:12" s="53" customFormat="1" ht="27" customHeight="1">
      <c r="C603" s="46" t="s">
        <v>1659</v>
      </c>
      <c r="D603" s="47" t="s">
        <v>1603</v>
      </c>
      <c r="E603" s="48" t="s">
        <v>2118</v>
      </c>
      <c r="F603" s="48" t="s">
        <v>378</v>
      </c>
      <c r="G603" s="49">
        <v>1</v>
      </c>
      <c r="H603" s="50">
        <v>0</v>
      </c>
      <c r="I603" s="50">
        <v>0</v>
      </c>
      <c r="J603" s="50">
        <v>0</v>
      </c>
      <c r="K603" s="50">
        <f t="shared" si="32"/>
        <v>0</v>
      </c>
      <c r="L603" s="52">
        <f t="shared" si="33"/>
        <v>0</v>
      </c>
    </row>
    <row r="604" spans="3:12" s="53" customFormat="1" ht="27" customHeight="1">
      <c r="C604" s="46" t="s">
        <v>1660</v>
      </c>
      <c r="D604" s="47" t="s">
        <v>1604</v>
      </c>
      <c r="E604" s="48" t="s">
        <v>1512</v>
      </c>
      <c r="F604" s="48" t="s">
        <v>378</v>
      </c>
      <c r="G604" s="49">
        <v>3</v>
      </c>
      <c r="H604" s="50">
        <v>0</v>
      </c>
      <c r="I604" s="50">
        <v>0</v>
      </c>
      <c r="J604" s="50">
        <v>0</v>
      </c>
      <c r="K604" s="50">
        <f t="shared" si="32"/>
        <v>0</v>
      </c>
      <c r="L604" s="52">
        <f t="shared" si="33"/>
        <v>0</v>
      </c>
    </row>
    <row r="605" spans="3:12" s="53" customFormat="1" ht="27" customHeight="1">
      <c r="C605" s="46" t="s">
        <v>1656</v>
      </c>
      <c r="D605" s="47" t="s">
        <v>1182</v>
      </c>
      <c r="E605" s="48" t="s">
        <v>1188</v>
      </c>
      <c r="F605" s="48" t="s">
        <v>378</v>
      </c>
      <c r="G605" s="49">
        <v>1</v>
      </c>
      <c r="H605" s="50">
        <v>0</v>
      </c>
      <c r="I605" s="50">
        <v>0</v>
      </c>
      <c r="J605" s="50">
        <v>0</v>
      </c>
      <c r="K605" s="50">
        <f t="shared" si="32"/>
        <v>0</v>
      </c>
      <c r="L605" s="52">
        <f t="shared" si="33"/>
        <v>0</v>
      </c>
    </row>
    <row r="606" spans="3:12" s="53" customFormat="1" ht="27" customHeight="1">
      <c r="C606" s="46" t="s">
        <v>1661</v>
      </c>
      <c r="D606" s="47" t="s">
        <v>1605</v>
      </c>
      <c r="E606" s="48" t="s">
        <v>1188</v>
      </c>
      <c r="F606" s="48" t="s">
        <v>378</v>
      </c>
      <c r="G606" s="49">
        <v>1</v>
      </c>
      <c r="H606" s="50">
        <v>0</v>
      </c>
      <c r="I606" s="50">
        <v>0</v>
      </c>
      <c r="J606" s="50">
        <v>0</v>
      </c>
      <c r="K606" s="50">
        <f t="shared" si="32"/>
        <v>0</v>
      </c>
      <c r="L606" s="52">
        <f t="shared" si="33"/>
        <v>0</v>
      </c>
    </row>
    <row r="607" spans="3:12" s="53" customFormat="1" ht="27" customHeight="1">
      <c r="C607" s="46" t="s">
        <v>1662</v>
      </c>
      <c r="D607" s="47" t="s">
        <v>1018</v>
      </c>
      <c r="E607" s="48" t="s">
        <v>1865</v>
      </c>
      <c r="F607" s="48" t="s">
        <v>378</v>
      </c>
      <c r="G607" s="49">
        <v>3</v>
      </c>
      <c r="H607" s="50">
        <v>0</v>
      </c>
      <c r="I607" s="50">
        <v>0</v>
      </c>
      <c r="J607" s="50">
        <v>0</v>
      </c>
      <c r="K607" s="50">
        <f t="shared" si="32"/>
        <v>0</v>
      </c>
      <c r="L607" s="52">
        <f t="shared" si="33"/>
        <v>0</v>
      </c>
    </row>
    <row r="608" spans="3:12" s="53" customFormat="1" ht="27" customHeight="1">
      <c r="C608" s="46" t="s">
        <v>1663</v>
      </c>
      <c r="D608" s="47" t="s">
        <v>1019</v>
      </c>
      <c r="E608" s="48" t="s">
        <v>351</v>
      </c>
      <c r="F608" s="48" t="s">
        <v>378</v>
      </c>
      <c r="G608" s="49">
        <v>3</v>
      </c>
      <c r="H608" s="50">
        <v>0</v>
      </c>
      <c r="I608" s="50">
        <v>0</v>
      </c>
      <c r="J608" s="50">
        <v>0</v>
      </c>
      <c r="K608" s="50">
        <f t="shared" si="32"/>
        <v>0</v>
      </c>
      <c r="L608" s="52">
        <f t="shared" si="33"/>
        <v>0</v>
      </c>
    </row>
    <row r="609" spans="3:12" s="53" customFormat="1" ht="27" customHeight="1">
      <c r="C609" s="46" t="s">
        <v>1664</v>
      </c>
      <c r="D609" s="47" t="s">
        <v>1184</v>
      </c>
      <c r="E609" s="48" t="s">
        <v>354</v>
      </c>
      <c r="F609" s="48" t="s">
        <v>378</v>
      </c>
      <c r="G609" s="49">
        <v>1</v>
      </c>
      <c r="H609" s="50">
        <v>0</v>
      </c>
      <c r="I609" s="50">
        <v>0</v>
      </c>
      <c r="J609" s="50">
        <v>0</v>
      </c>
      <c r="K609" s="50">
        <f t="shared" si="32"/>
        <v>0</v>
      </c>
      <c r="L609" s="52">
        <f t="shared" si="33"/>
        <v>0</v>
      </c>
    </row>
    <row r="610" spans="3:12" s="53" customFormat="1" ht="27" customHeight="1">
      <c r="C610" s="46" t="s">
        <v>1665</v>
      </c>
      <c r="D610" s="47" t="s">
        <v>1185</v>
      </c>
      <c r="E610" s="48" t="s">
        <v>354</v>
      </c>
      <c r="F610" s="48" t="s">
        <v>378</v>
      </c>
      <c r="G610" s="49">
        <v>3</v>
      </c>
      <c r="H610" s="50">
        <v>0</v>
      </c>
      <c r="I610" s="50">
        <v>0</v>
      </c>
      <c r="J610" s="50">
        <v>0</v>
      </c>
      <c r="K610" s="50">
        <f t="shared" ref="K610:K623" si="34">+H610+I610+J610</f>
        <v>0</v>
      </c>
      <c r="L610" s="52">
        <f t="shared" ref="L610:L623" si="35">+G610*K610</f>
        <v>0</v>
      </c>
    </row>
    <row r="611" spans="3:12" s="53" customFormat="1" ht="27" customHeight="1">
      <c r="C611" s="46" t="s">
        <v>1666</v>
      </c>
      <c r="D611" s="47" t="s">
        <v>1478</v>
      </c>
      <c r="E611" s="48" t="s">
        <v>2125</v>
      </c>
      <c r="F611" s="48" t="s">
        <v>378</v>
      </c>
      <c r="G611" s="49">
        <v>1</v>
      </c>
      <c r="H611" s="50">
        <v>0</v>
      </c>
      <c r="I611" s="50">
        <v>0</v>
      </c>
      <c r="J611" s="50">
        <v>0</v>
      </c>
      <c r="K611" s="50">
        <f t="shared" si="34"/>
        <v>0</v>
      </c>
      <c r="L611" s="52">
        <f t="shared" si="35"/>
        <v>0</v>
      </c>
    </row>
    <row r="612" spans="3:12" s="53" customFormat="1" ht="27" customHeight="1">
      <c r="C612" s="46" t="s">
        <v>1667</v>
      </c>
      <c r="D612" s="47" t="s">
        <v>1606</v>
      </c>
      <c r="E612" s="48" t="s">
        <v>1651</v>
      </c>
      <c r="F612" s="48" t="s">
        <v>378</v>
      </c>
      <c r="G612" s="49">
        <v>1</v>
      </c>
      <c r="H612" s="50">
        <v>0</v>
      </c>
      <c r="I612" s="50">
        <v>0</v>
      </c>
      <c r="J612" s="50">
        <v>0</v>
      </c>
      <c r="K612" s="50">
        <f t="shared" si="34"/>
        <v>0</v>
      </c>
      <c r="L612" s="52">
        <f t="shared" si="35"/>
        <v>0</v>
      </c>
    </row>
    <row r="613" spans="3:12" s="53" customFormat="1" ht="27" customHeight="1">
      <c r="C613" s="46" t="s">
        <v>1668</v>
      </c>
      <c r="D613" s="47" t="s">
        <v>1653</v>
      </c>
      <c r="E613" s="48" t="s">
        <v>351</v>
      </c>
      <c r="F613" s="48" t="s">
        <v>378</v>
      </c>
      <c r="G613" s="49">
        <v>1</v>
      </c>
      <c r="H613" s="50">
        <v>0</v>
      </c>
      <c r="I613" s="50">
        <v>0</v>
      </c>
      <c r="J613" s="50">
        <v>0</v>
      </c>
      <c r="K613" s="50">
        <f t="shared" si="34"/>
        <v>0</v>
      </c>
      <c r="L613" s="52">
        <f t="shared" si="35"/>
        <v>0</v>
      </c>
    </row>
    <row r="614" spans="3:12" s="53" customFormat="1" ht="27" customHeight="1">
      <c r="C614" s="46" t="s">
        <v>1669</v>
      </c>
      <c r="D614" s="47" t="s">
        <v>1607</v>
      </c>
      <c r="E614" s="48" t="s">
        <v>351</v>
      </c>
      <c r="F614" s="48" t="s">
        <v>378</v>
      </c>
      <c r="G614" s="49">
        <v>5</v>
      </c>
      <c r="H614" s="50">
        <v>0</v>
      </c>
      <c r="I614" s="50">
        <v>0</v>
      </c>
      <c r="J614" s="50">
        <v>0</v>
      </c>
      <c r="K614" s="50">
        <f t="shared" si="34"/>
        <v>0</v>
      </c>
      <c r="L614" s="52">
        <f t="shared" si="35"/>
        <v>0</v>
      </c>
    </row>
    <row r="615" spans="3:12" s="53" customFormat="1" ht="27" customHeight="1">
      <c r="C615" s="46" t="s">
        <v>1670</v>
      </c>
      <c r="D615" s="47" t="s">
        <v>1608</v>
      </c>
      <c r="E615" s="48" t="s">
        <v>351</v>
      </c>
      <c r="F615" s="48" t="s">
        <v>378</v>
      </c>
      <c r="G615" s="49">
        <v>1</v>
      </c>
      <c r="H615" s="50">
        <v>0</v>
      </c>
      <c r="I615" s="50">
        <v>0</v>
      </c>
      <c r="J615" s="50">
        <v>0</v>
      </c>
      <c r="K615" s="50">
        <f t="shared" si="34"/>
        <v>0</v>
      </c>
      <c r="L615" s="52">
        <f t="shared" si="35"/>
        <v>0</v>
      </c>
    </row>
    <row r="616" spans="3:12" s="53" customFormat="1" ht="27" customHeight="1">
      <c r="C616" s="46" t="s">
        <v>1671</v>
      </c>
      <c r="D616" s="47" t="s">
        <v>1609</v>
      </c>
      <c r="E616" s="48" t="s">
        <v>351</v>
      </c>
      <c r="F616" s="48" t="s">
        <v>378</v>
      </c>
      <c r="G616" s="49">
        <v>2</v>
      </c>
      <c r="H616" s="50">
        <v>0</v>
      </c>
      <c r="I616" s="50">
        <v>0</v>
      </c>
      <c r="J616" s="50">
        <v>0</v>
      </c>
      <c r="K616" s="50">
        <f t="shared" si="34"/>
        <v>0</v>
      </c>
      <c r="L616" s="52">
        <f t="shared" si="35"/>
        <v>0</v>
      </c>
    </row>
    <row r="617" spans="3:12" s="53" customFormat="1" ht="27" customHeight="1">
      <c r="C617" s="46" t="s">
        <v>1672</v>
      </c>
      <c r="D617" s="47" t="s">
        <v>1610</v>
      </c>
      <c r="E617" s="48" t="s">
        <v>1512</v>
      </c>
      <c r="F617" s="48" t="s">
        <v>378</v>
      </c>
      <c r="G617" s="49">
        <v>6</v>
      </c>
      <c r="H617" s="50">
        <v>0</v>
      </c>
      <c r="I617" s="50">
        <v>0</v>
      </c>
      <c r="J617" s="50">
        <v>0</v>
      </c>
      <c r="K617" s="50">
        <f t="shared" si="34"/>
        <v>0</v>
      </c>
      <c r="L617" s="52">
        <f t="shared" si="35"/>
        <v>0</v>
      </c>
    </row>
    <row r="618" spans="3:12" s="53" customFormat="1" ht="27" customHeight="1">
      <c r="C618" s="46" t="s">
        <v>1673</v>
      </c>
      <c r="D618" s="47" t="s">
        <v>1611</v>
      </c>
      <c r="E618" s="48" t="s">
        <v>1512</v>
      </c>
      <c r="F618" s="48" t="s">
        <v>378</v>
      </c>
      <c r="G618" s="49">
        <v>3</v>
      </c>
      <c r="H618" s="50">
        <v>0</v>
      </c>
      <c r="I618" s="50">
        <v>0</v>
      </c>
      <c r="J618" s="50">
        <v>0</v>
      </c>
      <c r="K618" s="50">
        <f t="shared" si="34"/>
        <v>0</v>
      </c>
      <c r="L618" s="52">
        <f t="shared" si="35"/>
        <v>0</v>
      </c>
    </row>
    <row r="619" spans="3:12" s="53" customFormat="1" ht="27" customHeight="1">
      <c r="C619" s="46" t="s">
        <v>1674</v>
      </c>
      <c r="D619" s="47" t="s">
        <v>1611</v>
      </c>
      <c r="E619" s="48" t="s">
        <v>1512</v>
      </c>
      <c r="F619" s="48" t="s">
        <v>378</v>
      </c>
      <c r="G619" s="49">
        <v>15</v>
      </c>
      <c r="H619" s="50">
        <v>0</v>
      </c>
      <c r="I619" s="50">
        <v>0</v>
      </c>
      <c r="J619" s="50">
        <v>0</v>
      </c>
      <c r="K619" s="50">
        <f t="shared" si="34"/>
        <v>0</v>
      </c>
      <c r="L619" s="52">
        <f t="shared" si="35"/>
        <v>0</v>
      </c>
    </row>
    <row r="620" spans="3:12" s="53" customFormat="1" ht="27" customHeight="1">
      <c r="C620" s="46" t="s">
        <v>1675</v>
      </c>
      <c r="D620" s="47" t="s">
        <v>1654</v>
      </c>
      <c r="E620" s="48" t="s">
        <v>1512</v>
      </c>
      <c r="F620" s="48" t="s">
        <v>378</v>
      </c>
      <c r="G620" s="49">
        <v>3</v>
      </c>
      <c r="H620" s="50">
        <v>0</v>
      </c>
      <c r="I620" s="50">
        <v>0</v>
      </c>
      <c r="J620" s="50">
        <v>0</v>
      </c>
      <c r="K620" s="50">
        <f t="shared" si="34"/>
        <v>0</v>
      </c>
      <c r="L620" s="52">
        <f t="shared" si="35"/>
        <v>0</v>
      </c>
    </row>
    <row r="621" spans="3:12" s="53" customFormat="1" ht="27" customHeight="1">
      <c r="C621" s="46" t="s">
        <v>1676</v>
      </c>
      <c r="D621" s="47" t="s">
        <v>1520</v>
      </c>
      <c r="E621" s="48" t="s">
        <v>351</v>
      </c>
      <c r="F621" s="48" t="s">
        <v>378</v>
      </c>
      <c r="G621" s="49">
        <v>10</v>
      </c>
      <c r="H621" s="50">
        <v>0</v>
      </c>
      <c r="I621" s="50">
        <v>0</v>
      </c>
      <c r="J621" s="50">
        <v>0</v>
      </c>
      <c r="K621" s="50">
        <f t="shared" si="34"/>
        <v>0</v>
      </c>
      <c r="L621" s="52">
        <f t="shared" si="35"/>
        <v>0</v>
      </c>
    </row>
    <row r="622" spans="3:12" s="53" customFormat="1" ht="27" customHeight="1">
      <c r="C622" s="46" t="s">
        <v>1677</v>
      </c>
      <c r="D622" s="47" t="s">
        <v>1613</v>
      </c>
      <c r="E622" s="48" t="s">
        <v>351</v>
      </c>
      <c r="F622" s="48" t="s">
        <v>378</v>
      </c>
      <c r="G622" s="49">
        <v>32</v>
      </c>
      <c r="H622" s="50">
        <v>0</v>
      </c>
      <c r="I622" s="50">
        <v>0</v>
      </c>
      <c r="J622" s="50">
        <v>0</v>
      </c>
      <c r="K622" s="50">
        <f t="shared" si="34"/>
        <v>0</v>
      </c>
      <c r="L622" s="52">
        <f t="shared" si="35"/>
        <v>0</v>
      </c>
    </row>
    <row r="623" spans="3:12" s="53" customFormat="1" ht="27" customHeight="1">
      <c r="C623" s="46" t="s">
        <v>1678</v>
      </c>
      <c r="D623" s="47" t="s">
        <v>1521</v>
      </c>
      <c r="E623" s="48" t="s">
        <v>351</v>
      </c>
      <c r="F623" s="48" t="s">
        <v>378</v>
      </c>
      <c r="G623" s="49">
        <v>4</v>
      </c>
      <c r="H623" s="50">
        <v>0</v>
      </c>
      <c r="I623" s="50">
        <v>0</v>
      </c>
      <c r="J623" s="50">
        <v>0</v>
      </c>
      <c r="K623" s="50">
        <f t="shared" si="34"/>
        <v>0</v>
      </c>
      <c r="L623" s="52">
        <f t="shared" si="35"/>
        <v>0</v>
      </c>
    </row>
    <row r="624" spans="3:12" s="53" customFormat="1" ht="27" customHeight="1">
      <c r="C624" s="46" t="s">
        <v>1679</v>
      </c>
      <c r="D624" s="47" t="s">
        <v>1181</v>
      </c>
      <c r="E624" s="48" t="s">
        <v>351</v>
      </c>
      <c r="F624" s="48" t="s">
        <v>378</v>
      </c>
      <c r="G624" s="49">
        <v>9</v>
      </c>
      <c r="H624" s="50">
        <v>0</v>
      </c>
      <c r="I624" s="50">
        <v>0</v>
      </c>
      <c r="J624" s="50">
        <v>0</v>
      </c>
      <c r="K624" s="50">
        <f t="shared" ref="K624:K630" si="36">+H624+I624+J624</f>
        <v>0</v>
      </c>
      <c r="L624" s="52">
        <f t="shared" ref="L624:L630" si="37">+G624*K624</f>
        <v>0</v>
      </c>
    </row>
    <row r="625" spans="3:12" s="53" customFormat="1" ht="27" customHeight="1">
      <c r="C625" s="46" t="s">
        <v>1680</v>
      </c>
      <c r="D625" s="47" t="s">
        <v>1182</v>
      </c>
      <c r="E625" s="48" t="s">
        <v>1188</v>
      </c>
      <c r="F625" s="48" t="s">
        <v>378</v>
      </c>
      <c r="G625" s="49">
        <v>9</v>
      </c>
      <c r="H625" s="50">
        <v>0</v>
      </c>
      <c r="I625" s="50">
        <v>0</v>
      </c>
      <c r="J625" s="50">
        <v>0</v>
      </c>
      <c r="K625" s="50">
        <f t="shared" si="36"/>
        <v>0</v>
      </c>
      <c r="L625" s="52">
        <f t="shared" si="37"/>
        <v>0</v>
      </c>
    </row>
    <row r="626" spans="3:12" s="53" customFormat="1" ht="27" customHeight="1">
      <c r="C626" s="46" t="s">
        <v>1681</v>
      </c>
      <c r="D626" s="47" t="s">
        <v>1183</v>
      </c>
      <c r="E626" s="48" t="s">
        <v>1188</v>
      </c>
      <c r="F626" s="48" t="s">
        <v>378</v>
      </c>
      <c r="G626" s="49">
        <v>9</v>
      </c>
      <c r="H626" s="50">
        <v>0</v>
      </c>
      <c r="I626" s="50">
        <v>0</v>
      </c>
      <c r="J626" s="50">
        <v>0</v>
      </c>
      <c r="K626" s="50">
        <f t="shared" si="36"/>
        <v>0</v>
      </c>
      <c r="L626" s="52">
        <f t="shared" si="37"/>
        <v>0</v>
      </c>
    </row>
    <row r="627" spans="3:12" s="53" customFormat="1" ht="27" customHeight="1">
      <c r="C627" s="46" t="s">
        <v>1682</v>
      </c>
      <c r="D627" s="47" t="s">
        <v>1614</v>
      </c>
      <c r="E627" s="48" t="s">
        <v>351</v>
      </c>
      <c r="F627" s="48" t="s">
        <v>378</v>
      </c>
      <c r="G627" s="49">
        <v>5</v>
      </c>
      <c r="H627" s="50">
        <v>0</v>
      </c>
      <c r="I627" s="50">
        <v>0</v>
      </c>
      <c r="J627" s="50">
        <v>0</v>
      </c>
      <c r="K627" s="50">
        <f t="shared" si="36"/>
        <v>0</v>
      </c>
      <c r="L627" s="52">
        <f t="shared" si="37"/>
        <v>0</v>
      </c>
    </row>
    <row r="628" spans="3:12" s="53" customFormat="1" ht="27" customHeight="1">
      <c r="C628" s="46" t="s">
        <v>1683</v>
      </c>
      <c r="D628" s="47" t="s">
        <v>2239</v>
      </c>
      <c r="E628" s="48" t="s">
        <v>351</v>
      </c>
      <c r="F628" s="48" t="s">
        <v>378</v>
      </c>
      <c r="G628" s="49">
        <v>16</v>
      </c>
      <c r="H628" s="50">
        <v>0</v>
      </c>
      <c r="I628" s="50">
        <v>0</v>
      </c>
      <c r="J628" s="50">
        <v>0</v>
      </c>
      <c r="K628" s="50">
        <f t="shared" si="36"/>
        <v>0</v>
      </c>
      <c r="L628" s="52">
        <f t="shared" si="37"/>
        <v>0</v>
      </c>
    </row>
    <row r="629" spans="3:12" s="53" customFormat="1" ht="27" customHeight="1">
      <c r="C629" s="46" t="s">
        <v>1684</v>
      </c>
      <c r="D629" s="47" t="s">
        <v>2240</v>
      </c>
      <c r="E629" s="48" t="s">
        <v>351</v>
      </c>
      <c r="F629" s="48" t="s">
        <v>378</v>
      </c>
      <c r="G629" s="49">
        <v>2</v>
      </c>
      <c r="H629" s="50">
        <v>0</v>
      </c>
      <c r="I629" s="50">
        <v>0</v>
      </c>
      <c r="J629" s="50">
        <v>0</v>
      </c>
      <c r="K629" s="50">
        <f t="shared" si="36"/>
        <v>0</v>
      </c>
      <c r="L629" s="52">
        <f t="shared" si="37"/>
        <v>0</v>
      </c>
    </row>
    <row r="630" spans="3:12" s="53" customFormat="1" ht="27" customHeight="1">
      <c r="C630" s="46" t="s">
        <v>1685</v>
      </c>
      <c r="D630" s="47" t="s">
        <v>1615</v>
      </c>
      <c r="E630" s="136" t="s">
        <v>2124</v>
      </c>
      <c r="F630" s="48" t="s">
        <v>26</v>
      </c>
      <c r="G630" s="49">
        <v>32</v>
      </c>
      <c r="H630" s="50">
        <v>0</v>
      </c>
      <c r="I630" s="50">
        <v>0</v>
      </c>
      <c r="J630" s="50">
        <v>0</v>
      </c>
      <c r="K630" s="50">
        <f t="shared" si="36"/>
        <v>0</v>
      </c>
      <c r="L630" s="52">
        <f t="shared" si="37"/>
        <v>0</v>
      </c>
    </row>
    <row r="631" spans="3:12" s="53" customFormat="1" ht="27" customHeight="1">
      <c r="C631" s="46" t="s">
        <v>1686</v>
      </c>
      <c r="D631" s="47" t="s">
        <v>1475</v>
      </c>
      <c r="E631" s="48" t="s">
        <v>1864</v>
      </c>
      <c r="F631" s="48" t="s">
        <v>378</v>
      </c>
      <c r="G631" s="49">
        <v>9</v>
      </c>
      <c r="H631" s="148"/>
      <c r="I631" s="50">
        <v>0</v>
      </c>
      <c r="J631" s="50">
        <v>0</v>
      </c>
      <c r="K631" s="50">
        <f>+H631+I631+J631</f>
        <v>0</v>
      </c>
      <c r="L631" s="52">
        <f>+G631*K631</f>
        <v>0</v>
      </c>
    </row>
    <row r="632" spans="3:12" s="53" customFormat="1" ht="27" customHeight="1">
      <c r="C632" s="46" t="s">
        <v>1687</v>
      </c>
      <c r="D632" s="47" t="s">
        <v>1616</v>
      </c>
      <c r="E632" s="48" t="s">
        <v>1864</v>
      </c>
      <c r="F632" s="48" t="s">
        <v>378</v>
      </c>
      <c r="G632" s="49">
        <v>23</v>
      </c>
      <c r="H632" s="148"/>
      <c r="I632" s="50">
        <v>0</v>
      </c>
      <c r="J632" s="50">
        <v>0</v>
      </c>
      <c r="K632" s="50">
        <f>+H632+I632+J632</f>
        <v>0</v>
      </c>
      <c r="L632" s="52">
        <f>+G632*K632</f>
        <v>0</v>
      </c>
    </row>
    <row r="633" spans="3:12" s="53" customFormat="1" ht="27" customHeight="1">
      <c r="C633" s="46" t="s">
        <v>1688</v>
      </c>
      <c r="D633" s="47" t="s">
        <v>1863</v>
      </c>
      <c r="E633" s="48" t="s">
        <v>1514</v>
      </c>
      <c r="F633" s="48" t="s">
        <v>485</v>
      </c>
      <c r="G633" s="49">
        <v>400</v>
      </c>
      <c r="H633" s="50">
        <v>0</v>
      </c>
      <c r="I633" s="50">
        <v>0</v>
      </c>
      <c r="J633" s="50">
        <v>0</v>
      </c>
      <c r="K633" s="50">
        <f>+H633+I633+J633</f>
        <v>0</v>
      </c>
      <c r="L633" s="52">
        <f>+G633*K633</f>
        <v>0</v>
      </c>
    </row>
    <row r="634" spans="3:12" s="53" customFormat="1" ht="27" customHeight="1">
      <c r="C634" s="46" t="s">
        <v>1689</v>
      </c>
      <c r="D634" s="47" t="s">
        <v>2142</v>
      </c>
      <c r="E634" s="48" t="s">
        <v>2172</v>
      </c>
      <c r="F634" s="48" t="s">
        <v>26</v>
      </c>
      <c r="G634" s="49">
        <v>1</v>
      </c>
      <c r="H634" s="50">
        <v>0</v>
      </c>
      <c r="I634" s="50">
        <v>0</v>
      </c>
      <c r="J634" s="50">
        <v>0</v>
      </c>
      <c r="K634" s="50">
        <f>+H634+I634+J634</f>
        <v>0</v>
      </c>
      <c r="L634" s="52">
        <f>+G634*K634</f>
        <v>0</v>
      </c>
    </row>
    <row r="635" spans="3:12" s="53" customFormat="1" ht="27" customHeight="1">
      <c r="C635" s="46"/>
      <c r="D635" s="47"/>
      <c r="E635" s="48"/>
      <c r="F635" s="48"/>
      <c r="G635" s="49"/>
      <c r="H635" s="50"/>
      <c r="I635" s="50"/>
      <c r="J635" s="50"/>
      <c r="K635" s="50"/>
      <c r="L635" s="52"/>
    </row>
    <row r="636" spans="3:12" s="53" customFormat="1" ht="27" customHeight="1">
      <c r="C636" s="207" t="s">
        <v>1690</v>
      </c>
      <c r="D636" s="159" t="s">
        <v>2274</v>
      </c>
      <c r="E636" s="48"/>
      <c r="F636" s="48"/>
      <c r="G636" s="49"/>
      <c r="H636" s="50"/>
      <c r="I636" s="50"/>
      <c r="J636" s="50"/>
      <c r="K636" s="50"/>
      <c r="L636" s="52"/>
    </row>
    <row r="637" spans="3:12" s="53" customFormat="1" ht="27" customHeight="1">
      <c r="C637" s="46"/>
      <c r="D637" s="47"/>
      <c r="E637" s="48"/>
      <c r="F637" s="48"/>
      <c r="G637" s="49"/>
      <c r="H637" s="50"/>
      <c r="I637" s="50"/>
      <c r="J637" s="50"/>
      <c r="K637" s="50"/>
      <c r="L637" s="52"/>
    </row>
    <row r="638" spans="3:12" s="53" customFormat="1" ht="27" customHeight="1">
      <c r="C638" s="46" t="s">
        <v>1692</v>
      </c>
      <c r="D638" s="47" t="s">
        <v>2225</v>
      </c>
      <c r="E638" s="48" t="s">
        <v>351</v>
      </c>
      <c r="F638" s="48" t="s">
        <v>378</v>
      </c>
      <c r="G638" s="49">
        <v>1</v>
      </c>
      <c r="H638" s="50">
        <v>0</v>
      </c>
      <c r="I638" s="50">
        <v>0</v>
      </c>
      <c r="J638" s="50">
        <v>0</v>
      </c>
      <c r="K638" s="50">
        <f t="shared" ref="K638:K651" si="38">+H638+I638+J638</f>
        <v>0</v>
      </c>
      <c r="L638" s="52">
        <f t="shared" ref="L638:L651" si="39">+G638*K638</f>
        <v>0</v>
      </c>
    </row>
    <row r="639" spans="3:12" s="53" customFormat="1" ht="27" customHeight="1">
      <c r="C639" s="46" t="s">
        <v>1694</v>
      </c>
      <c r="D639" s="47" t="s">
        <v>1601</v>
      </c>
      <c r="E639" s="48" t="s">
        <v>351</v>
      </c>
      <c r="F639" s="48" t="s">
        <v>378</v>
      </c>
      <c r="G639" s="49">
        <v>1</v>
      </c>
      <c r="H639" s="50">
        <v>0</v>
      </c>
      <c r="I639" s="50">
        <v>0</v>
      </c>
      <c r="J639" s="50">
        <v>0</v>
      </c>
      <c r="K639" s="50">
        <f t="shared" si="38"/>
        <v>0</v>
      </c>
      <c r="L639" s="52">
        <f t="shared" si="39"/>
        <v>0</v>
      </c>
    </row>
    <row r="640" spans="3:12" s="53" customFormat="1" ht="27" customHeight="1">
      <c r="C640" s="46" t="s">
        <v>1695</v>
      </c>
      <c r="D640" s="47" t="s">
        <v>1602</v>
      </c>
      <c r="E640" s="48" t="s">
        <v>351</v>
      </c>
      <c r="F640" s="48" t="s">
        <v>378</v>
      </c>
      <c r="G640" s="49">
        <v>1</v>
      </c>
      <c r="H640" s="50">
        <v>0</v>
      </c>
      <c r="I640" s="50">
        <v>0</v>
      </c>
      <c r="J640" s="50">
        <v>0</v>
      </c>
      <c r="K640" s="50">
        <f t="shared" si="38"/>
        <v>0</v>
      </c>
      <c r="L640" s="52">
        <f t="shared" si="39"/>
        <v>0</v>
      </c>
    </row>
    <row r="641" spans="3:12" s="53" customFormat="1" ht="27" customHeight="1">
      <c r="C641" s="46" t="s">
        <v>1696</v>
      </c>
      <c r="D641" s="47" t="s">
        <v>1603</v>
      </c>
      <c r="E641" s="136" t="s">
        <v>2118</v>
      </c>
      <c r="F641" s="48" t="s">
        <v>378</v>
      </c>
      <c r="G641" s="49">
        <v>1</v>
      </c>
      <c r="H641" s="50">
        <v>0</v>
      </c>
      <c r="I641" s="50">
        <v>0</v>
      </c>
      <c r="J641" s="50">
        <v>0</v>
      </c>
      <c r="K641" s="50">
        <f t="shared" si="38"/>
        <v>0</v>
      </c>
      <c r="L641" s="52">
        <f t="shared" si="39"/>
        <v>0</v>
      </c>
    </row>
    <row r="642" spans="3:12" s="53" customFormat="1" ht="27" customHeight="1">
      <c r="C642" s="46" t="s">
        <v>1697</v>
      </c>
      <c r="D642" s="47" t="s">
        <v>1604</v>
      </c>
      <c r="E642" s="48" t="s">
        <v>1512</v>
      </c>
      <c r="F642" s="48" t="s">
        <v>378</v>
      </c>
      <c r="G642" s="49">
        <v>3</v>
      </c>
      <c r="H642" s="50">
        <v>0</v>
      </c>
      <c r="I642" s="50">
        <v>0</v>
      </c>
      <c r="J642" s="50">
        <v>0</v>
      </c>
      <c r="K642" s="50">
        <f t="shared" si="38"/>
        <v>0</v>
      </c>
      <c r="L642" s="52">
        <f t="shared" si="39"/>
        <v>0</v>
      </c>
    </row>
    <row r="643" spans="3:12" s="53" customFormat="1" ht="27" customHeight="1">
      <c r="C643" s="46" t="s">
        <v>1693</v>
      </c>
      <c r="D643" s="47" t="s">
        <v>1182</v>
      </c>
      <c r="E643" s="48" t="s">
        <v>1188</v>
      </c>
      <c r="F643" s="48" t="s">
        <v>378</v>
      </c>
      <c r="G643" s="49">
        <v>1</v>
      </c>
      <c r="H643" s="50">
        <v>0</v>
      </c>
      <c r="I643" s="50">
        <v>0</v>
      </c>
      <c r="J643" s="50">
        <v>0</v>
      </c>
      <c r="K643" s="50">
        <f t="shared" si="38"/>
        <v>0</v>
      </c>
      <c r="L643" s="52">
        <f t="shared" si="39"/>
        <v>0</v>
      </c>
    </row>
    <row r="644" spans="3:12" s="53" customFormat="1" ht="27" customHeight="1">
      <c r="C644" s="46" t="s">
        <v>1698</v>
      </c>
      <c r="D644" s="47" t="s">
        <v>1605</v>
      </c>
      <c r="E644" s="48" t="s">
        <v>1188</v>
      </c>
      <c r="F644" s="48" t="s">
        <v>378</v>
      </c>
      <c r="G644" s="49">
        <v>1</v>
      </c>
      <c r="H644" s="50">
        <v>0</v>
      </c>
      <c r="I644" s="50">
        <v>0</v>
      </c>
      <c r="J644" s="50">
        <v>0</v>
      </c>
      <c r="K644" s="50">
        <f t="shared" si="38"/>
        <v>0</v>
      </c>
      <c r="L644" s="52">
        <f t="shared" si="39"/>
        <v>0</v>
      </c>
    </row>
    <row r="645" spans="3:12" s="53" customFormat="1" ht="27" customHeight="1">
      <c r="C645" s="46" t="s">
        <v>1699</v>
      </c>
      <c r="D645" s="47" t="s">
        <v>1018</v>
      </c>
      <c r="E645" s="48" t="s">
        <v>1865</v>
      </c>
      <c r="F645" s="48" t="s">
        <v>378</v>
      </c>
      <c r="G645" s="49">
        <v>3</v>
      </c>
      <c r="H645" s="50">
        <v>0</v>
      </c>
      <c r="I645" s="50">
        <v>0</v>
      </c>
      <c r="J645" s="50">
        <v>0</v>
      </c>
      <c r="K645" s="50">
        <f t="shared" si="38"/>
        <v>0</v>
      </c>
      <c r="L645" s="52">
        <f t="shared" si="39"/>
        <v>0</v>
      </c>
    </row>
    <row r="646" spans="3:12" s="53" customFormat="1" ht="27" customHeight="1">
      <c r="C646" s="46" t="s">
        <v>1700</v>
      </c>
      <c r="D646" s="47" t="s">
        <v>1019</v>
      </c>
      <c r="E646" s="48" t="s">
        <v>351</v>
      </c>
      <c r="F646" s="48" t="s">
        <v>378</v>
      </c>
      <c r="G646" s="49">
        <v>3</v>
      </c>
      <c r="H646" s="50">
        <v>0</v>
      </c>
      <c r="I646" s="50">
        <v>0</v>
      </c>
      <c r="J646" s="50">
        <v>0</v>
      </c>
      <c r="K646" s="50">
        <f t="shared" si="38"/>
        <v>0</v>
      </c>
      <c r="L646" s="52">
        <f t="shared" si="39"/>
        <v>0</v>
      </c>
    </row>
    <row r="647" spans="3:12" s="53" customFormat="1" ht="27" customHeight="1">
      <c r="C647" s="46" t="s">
        <v>1701</v>
      </c>
      <c r="D647" s="47" t="s">
        <v>1184</v>
      </c>
      <c r="E647" s="48" t="s">
        <v>354</v>
      </c>
      <c r="F647" s="48" t="s">
        <v>378</v>
      </c>
      <c r="G647" s="49">
        <v>1</v>
      </c>
      <c r="H647" s="50">
        <v>0</v>
      </c>
      <c r="I647" s="50">
        <v>0</v>
      </c>
      <c r="J647" s="50">
        <v>0</v>
      </c>
      <c r="K647" s="50">
        <f t="shared" si="38"/>
        <v>0</v>
      </c>
      <c r="L647" s="52">
        <f t="shared" si="39"/>
        <v>0</v>
      </c>
    </row>
    <row r="648" spans="3:12" s="53" customFormat="1" ht="27" customHeight="1">
      <c r="C648" s="46" t="s">
        <v>1702</v>
      </c>
      <c r="D648" s="47" t="s">
        <v>1185</v>
      </c>
      <c r="E648" s="48" t="s">
        <v>354</v>
      </c>
      <c r="F648" s="48" t="s">
        <v>378</v>
      </c>
      <c r="G648" s="49">
        <v>3</v>
      </c>
      <c r="H648" s="50">
        <v>0</v>
      </c>
      <c r="I648" s="50">
        <v>0</v>
      </c>
      <c r="J648" s="50">
        <v>0</v>
      </c>
      <c r="K648" s="50">
        <f t="shared" si="38"/>
        <v>0</v>
      </c>
      <c r="L648" s="52">
        <f t="shared" si="39"/>
        <v>0</v>
      </c>
    </row>
    <row r="649" spans="3:12" s="53" customFormat="1" ht="27" customHeight="1">
      <c r="C649" s="46" t="s">
        <v>1703</v>
      </c>
      <c r="D649" s="47" t="s">
        <v>1478</v>
      </c>
      <c r="E649" s="48" t="s">
        <v>2125</v>
      </c>
      <c r="F649" s="48" t="s">
        <v>378</v>
      </c>
      <c r="G649" s="49">
        <v>1</v>
      </c>
      <c r="H649" s="50">
        <v>0</v>
      </c>
      <c r="I649" s="50">
        <v>0</v>
      </c>
      <c r="J649" s="50">
        <v>0</v>
      </c>
      <c r="K649" s="50">
        <f t="shared" si="38"/>
        <v>0</v>
      </c>
      <c r="L649" s="52">
        <f t="shared" si="39"/>
        <v>0</v>
      </c>
    </row>
    <row r="650" spans="3:12" s="53" customFormat="1" ht="27" customHeight="1">
      <c r="C650" s="46" t="s">
        <v>1704</v>
      </c>
      <c r="D650" s="47" t="s">
        <v>1606</v>
      </c>
      <c r="E650" s="48" t="s">
        <v>1651</v>
      </c>
      <c r="F650" s="48" t="s">
        <v>378</v>
      </c>
      <c r="G650" s="49">
        <v>1</v>
      </c>
      <c r="H650" s="50">
        <v>0</v>
      </c>
      <c r="I650" s="50">
        <v>0</v>
      </c>
      <c r="J650" s="50">
        <v>0</v>
      </c>
      <c r="K650" s="50">
        <f t="shared" si="38"/>
        <v>0</v>
      </c>
      <c r="L650" s="52">
        <f t="shared" si="39"/>
        <v>0</v>
      </c>
    </row>
    <row r="651" spans="3:12" s="53" customFormat="1" ht="27" customHeight="1">
      <c r="C651" s="46" t="s">
        <v>1705</v>
      </c>
      <c r="D651" s="47" t="s">
        <v>1517</v>
      </c>
      <c r="E651" s="48" t="s">
        <v>351</v>
      </c>
      <c r="F651" s="48" t="s">
        <v>378</v>
      </c>
      <c r="G651" s="49">
        <v>2</v>
      </c>
      <c r="H651" s="50">
        <v>0</v>
      </c>
      <c r="I651" s="50">
        <v>0</v>
      </c>
      <c r="J651" s="50">
        <v>0</v>
      </c>
      <c r="K651" s="50">
        <f t="shared" si="38"/>
        <v>0</v>
      </c>
      <c r="L651" s="52">
        <f t="shared" si="39"/>
        <v>0</v>
      </c>
    </row>
    <row r="652" spans="3:12" s="53" customFormat="1" ht="27" customHeight="1">
      <c r="C652" s="46" t="s">
        <v>1706</v>
      </c>
      <c r="D652" s="47" t="s">
        <v>1608</v>
      </c>
      <c r="E652" s="48" t="s">
        <v>351</v>
      </c>
      <c r="F652" s="48" t="s">
        <v>378</v>
      </c>
      <c r="G652" s="49">
        <v>1</v>
      </c>
      <c r="H652" s="50">
        <v>0</v>
      </c>
      <c r="I652" s="50">
        <v>0</v>
      </c>
      <c r="J652" s="50">
        <v>0</v>
      </c>
      <c r="K652" s="50">
        <f t="shared" ref="K652:K668" si="40">+H652+I652+J652</f>
        <v>0</v>
      </c>
      <c r="L652" s="52">
        <f t="shared" ref="L652:L668" si="41">+G652*K652</f>
        <v>0</v>
      </c>
    </row>
    <row r="653" spans="3:12" s="53" customFormat="1" ht="27" customHeight="1">
      <c r="C653" s="46" t="s">
        <v>1707</v>
      </c>
      <c r="D653" s="47" t="s">
        <v>1609</v>
      </c>
      <c r="E653" s="48" t="s">
        <v>351</v>
      </c>
      <c r="F653" s="48" t="s">
        <v>378</v>
      </c>
      <c r="G653" s="49">
        <v>2</v>
      </c>
      <c r="H653" s="50">
        <v>0</v>
      </c>
      <c r="I653" s="50">
        <v>0</v>
      </c>
      <c r="J653" s="50">
        <v>0</v>
      </c>
      <c r="K653" s="50">
        <f t="shared" si="40"/>
        <v>0</v>
      </c>
      <c r="L653" s="52">
        <f t="shared" si="41"/>
        <v>0</v>
      </c>
    </row>
    <row r="654" spans="3:12" s="53" customFormat="1" ht="27" customHeight="1">
      <c r="C654" s="46" t="s">
        <v>1708</v>
      </c>
      <c r="D654" s="47" t="s">
        <v>1610</v>
      </c>
      <c r="E654" s="48" t="s">
        <v>1512</v>
      </c>
      <c r="F654" s="48" t="s">
        <v>378</v>
      </c>
      <c r="G654" s="49">
        <v>6</v>
      </c>
      <c r="H654" s="50">
        <v>0</v>
      </c>
      <c r="I654" s="50">
        <v>0</v>
      </c>
      <c r="J654" s="50">
        <v>0</v>
      </c>
      <c r="K654" s="50">
        <f t="shared" si="40"/>
        <v>0</v>
      </c>
      <c r="L654" s="52">
        <f t="shared" si="41"/>
        <v>0</v>
      </c>
    </row>
    <row r="655" spans="3:12" s="53" customFormat="1" ht="27" customHeight="1">
      <c r="C655" s="46" t="s">
        <v>1709</v>
      </c>
      <c r="D655" s="47" t="s">
        <v>1611</v>
      </c>
      <c r="E655" s="48" t="s">
        <v>1512</v>
      </c>
      <c r="F655" s="48" t="s">
        <v>378</v>
      </c>
      <c r="G655" s="49">
        <v>3</v>
      </c>
      <c r="H655" s="50">
        <v>0</v>
      </c>
      <c r="I655" s="50">
        <v>0</v>
      </c>
      <c r="J655" s="50">
        <v>0</v>
      </c>
      <c r="K655" s="50">
        <f t="shared" si="40"/>
        <v>0</v>
      </c>
      <c r="L655" s="52">
        <f t="shared" si="41"/>
        <v>0</v>
      </c>
    </row>
    <row r="656" spans="3:12" s="53" customFormat="1" ht="27" customHeight="1">
      <c r="C656" s="46" t="s">
        <v>1710</v>
      </c>
      <c r="D656" s="47" t="s">
        <v>1691</v>
      </c>
      <c r="E656" s="48" t="s">
        <v>1512</v>
      </c>
      <c r="F656" s="48" t="s">
        <v>378</v>
      </c>
      <c r="G656" s="49">
        <v>6</v>
      </c>
      <c r="H656" s="50">
        <v>0</v>
      </c>
      <c r="I656" s="50">
        <v>0</v>
      </c>
      <c r="J656" s="50">
        <v>0</v>
      </c>
      <c r="K656" s="50">
        <f t="shared" si="40"/>
        <v>0</v>
      </c>
      <c r="L656" s="52">
        <f t="shared" si="41"/>
        <v>0</v>
      </c>
    </row>
    <row r="657" spans="3:12" s="53" customFormat="1" ht="27" customHeight="1">
      <c r="C657" s="46" t="s">
        <v>1711</v>
      </c>
      <c r="D657" s="47" t="s">
        <v>1520</v>
      </c>
      <c r="E657" s="48" t="s">
        <v>351</v>
      </c>
      <c r="F657" s="48" t="s">
        <v>378</v>
      </c>
      <c r="G657" s="49">
        <v>10</v>
      </c>
      <c r="H657" s="50">
        <v>0</v>
      </c>
      <c r="I657" s="50">
        <v>0</v>
      </c>
      <c r="J657" s="50">
        <v>0</v>
      </c>
      <c r="K657" s="50">
        <f t="shared" si="40"/>
        <v>0</v>
      </c>
      <c r="L657" s="52">
        <f t="shared" si="41"/>
        <v>0</v>
      </c>
    </row>
    <row r="658" spans="3:12" s="53" customFormat="1" ht="27" customHeight="1">
      <c r="C658" s="46" t="s">
        <v>1712</v>
      </c>
      <c r="D658" s="47" t="s">
        <v>1613</v>
      </c>
      <c r="E658" s="48" t="s">
        <v>351</v>
      </c>
      <c r="F658" s="48" t="s">
        <v>378</v>
      </c>
      <c r="G658" s="49">
        <v>32</v>
      </c>
      <c r="H658" s="50">
        <v>0</v>
      </c>
      <c r="I658" s="50">
        <v>0</v>
      </c>
      <c r="J658" s="50">
        <v>0</v>
      </c>
      <c r="K658" s="50">
        <f t="shared" si="40"/>
        <v>0</v>
      </c>
      <c r="L658" s="52">
        <f t="shared" si="41"/>
        <v>0</v>
      </c>
    </row>
    <row r="659" spans="3:12" s="53" customFormat="1" ht="27" customHeight="1">
      <c r="C659" s="46" t="s">
        <v>1713</v>
      </c>
      <c r="D659" s="47" t="s">
        <v>1521</v>
      </c>
      <c r="E659" s="48" t="s">
        <v>351</v>
      </c>
      <c r="F659" s="48" t="s">
        <v>378</v>
      </c>
      <c r="G659" s="49">
        <v>14</v>
      </c>
      <c r="H659" s="50">
        <v>0</v>
      </c>
      <c r="I659" s="50">
        <v>0</v>
      </c>
      <c r="J659" s="50">
        <v>0</v>
      </c>
      <c r="K659" s="50">
        <f t="shared" si="40"/>
        <v>0</v>
      </c>
      <c r="L659" s="52">
        <f t="shared" si="41"/>
        <v>0</v>
      </c>
    </row>
    <row r="660" spans="3:12" s="53" customFormat="1" ht="27" customHeight="1">
      <c r="C660" s="46" t="s">
        <v>1714</v>
      </c>
      <c r="D660" s="47" t="s">
        <v>304</v>
      </c>
      <c r="E660" s="48" t="s">
        <v>351</v>
      </c>
      <c r="F660" s="48" t="s">
        <v>378</v>
      </c>
      <c r="G660" s="49">
        <v>2</v>
      </c>
      <c r="H660" s="50">
        <v>0</v>
      </c>
      <c r="I660" s="50">
        <v>0</v>
      </c>
      <c r="J660" s="50">
        <v>0</v>
      </c>
      <c r="K660" s="50">
        <f t="shared" si="40"/>
        <v>0</v>
      </c>
      <c r="L660" s="52">
        <f t="shared" si="41"/>
        <v>0</v>
      </c>
    </row>
    <row r="661" spans="3:12" s="53" customFormat="1" ht="27" customHeight="1">
      <c r="C661" s="46" t="s">
        <v>1715</v>
      </c>
      <c r="D661" s="47" t="s">
        <v>1181</v>
      </c>
      <c r="E661" s="48" t="s">
        <v>351</v>
      </c>
      <c r="F661" s="48" t="s">
        <v>378</v>
      </c>
      <c r="G661" s="49">
        <v>3</v>
      </c>
      <c r="H661" s="50">
        <v>0</v>
      </c>
      <c r="I661" s="50">
        <v>0</v>
      </c>
      <c r="J661" s="50">
        <v>0</v>
      </c>
      <c r="K661" s="50">
        <f t="shared" si="40"/>
        <v>0</v>
      </c>
      <c r="L661" s="52">
        <f t="shared" si="41"/>
        <v>0</v>
      </c>
    </row>
    <row r="662" spans="3:12" s="53" customFormat="1" ht="27" customHeight="1">
      <c r="C662" s="46" t="s">
        <v>1716</v>
      </c>
      <c r="D662" s="47" t="s">
        <v>1182</v>
      </c>
      <c r="E662" s="48" t="s">
        <v>1188</v>
      </c>
      <c r="F662" s="48" t="s">
        <v>378</v>
      </c>
      <c r="G662" s="49">
        <v>5</v>
      </c>
      <c r="H662" s="50">
        <v>0</v>
      </c>
      <c r="I662" s="50">
        <v>0</v>
      </c>
      <c r="J662" s="50">
        <v>0</v>
      </c>
      <c r="K662" s="50">
        <f t="shared" si="40"/>
        <v>0</v>
      </c>
      <c r="L662" s="52">
        <f t="shared" si="41"/>
        <v>0</v>
      </c>
    </row>
    <row r="663" spans="3:12" s="53" customFormat="1" ht="27" customHeight="1">
      <c r="C663" s="46" t="s">
        <v>1717</v>
      </c>
      <c r="D663" s="47" t="s">
        <v>1183</v>
      </c>
      <c r="E663" s="48" t="s">
        <v>1188</v>
      </c>
      <c r="F663" s="48" t="s">
        <v>378</v>
      </c>
      <c r="G663" s="49">
        <v>3</v>
      </c>
      <c r="H663" s="50">
        <v>0</v>
      </c>
      <c r="I663" s="50">
        <v>0</v>
      </c>
      <c r="J663" s="50">
        <v>0</v>
      </c>
      <c r="K663" s="50">
        <f t="shared" si="40"/>
        <v>0</v>
      </c>
      <c r="L663" s="52">
        <f t="shared" si="41"/>
        <v>0</v>
      </c>
    </row>
    <row r="664" spans="3:12" s="53" customFormat="1" ht="27" customHeight="1">
      <c r="C664" s="46" t="s">
        <v>1718</v>
      </c>
      <c r="D664" s="47" t="s">
        <v>1473</v>
      </c>
      <c r="E664" s="48" t="s">
        <v>1188</v>
      </c>
      <c r="F664" s="48" t="s">
        <v>378</v>
      </c>
      <c r="G664" s="49">
        <v>2</v>
      </c>
      <c r="H664" s="50">
        <v>0</v>
      </c>
      <c r="I664" s="50">
        <v>0</v>
      </c>
      <c r="J664" s="50">
        <v>0</v>
      </c>
      <c r="K664" s="50">
        <f t="shared" si="40"/>
        <v>0</v>
      </c>
      <c r="L664" s="52">
        <f t="shared" si="41"/>
        <v>0</v>
      </c>
    </row>
    <row r="665" spans="3:12" s="53" customFormat="1" ht="27" customHeight="1">
      <c r="C665" s="46" t="s">
        <v>1719</v>
      </c>
      <c r="D665" s="47" t="s">
        <v>1614</v>
      </c>
      <c r="E665" s="48" t="s">
        <v>351</v>
      </c>
      <c r="F665" s="48" t="s">
        <v>378</v>
      </c>
      <c r="G665" s="49">
        <v>5</v>
      </c>
      <c r="H665" s="50">
        <v>0</v>
      </c>
      <c r="I665" s="50">
        <v>0</v>
      </c>
      <c r="J665" s="50">
        <v>0</v>
      </c>
      <c r="K665" s="50">
        <f t="shared" si="40"/>
        <v>0</v>
      </c>
      <c r="L665" s="52">
        <f t="shared" si="41"/>
        <v>0</v>
      </c>
    </row>
    <row r="666" spans="3:12" s="53" customFormat="1" ht="27" customHeight="1">
      <c r="C666" s="46" t="s">
        <v>1720</v>
      </c>
      <c r="D666" s="47" t="s">
        <v>2241</v>
      </c>
      <c r="E666" s="48" t="s">
        <v>351</v>
      </c>
      <c r="F666" s="48" t="s">
        <v>378</v>
      </c>
      <c r="G666" s="49">
        <v>16</v>
      </c>
      <c r="H666" s="50">
        <v>0</v>
      </c>
      <c r="I666" s="50">
        <v>0</v>
      </c>
      <c r="J666" s="50">
        <v>0</v>
      </c>
      <c r="K666" s="50">
        <f t="shared" si="40"/>
        <v>0</v>
      </c>
      <c r="L666" s="52">
        <f t="shared" si="41"/>
        <v>0</v>
      </c>
    </row>
    <row r="667" spans="3:12" s="53" customFormat="1" ht="27" customHeight="1">
      <c r="C667" s="46" t="s">
        <v>1721</v>
      </c>
      <c r="D667" s="47" t="s">
        <v>2240</v>
      </c>
      <c r="E667" s="48" t="s">
        <v>351</v>
      </c>
      <c r="F667" s="48" t="s">
        <v>378</v>
      </c>
      <c r="G667" s="49">
        <v>7</v>
      </c>
      <c r="H667" s="50">
        <v>0</v>
      </c>
      <c r="I667" s="50">
        <v>0</v>
      </c>
      <c r="J667" s="50">
        <v>0</v>
      </c>
      <c r="K667" s="50">
        <f t="shared" si="40"/>
        <v>0</v>
      </c>
      <c r="L667" s="52">
        <f t="shared" si="41"/>
        <v>0</v>
      </c>
    </row>
    <row r="668" spans="3:12" s="53" customFormat="1" ht="27" customHeight="1">
      <c r="C668" s="46" t="s">
        <v>1722</v>
      </c>
      <c r="D668" s="47" t="s">
        <v>1615</v>
      </c>
      <c r="E668" s="136" t="s">
        <v>2124</v>
      </c>
      <c r="F668" s="48" t="s">
        <v>26</v>
      </c>
      <c r="G668" s="49">
        <v>33</v>
      </c>
      <c r="H668" s="50">
        <v>0</v>
      </c>
      <c r="I668" s="50">
        <v>0</v>
      </c>
      <c r="J668" s="50">
        <v>0</v>
      </c>
      <c r="K668" s="50">
        <f t="shared" si="40"/>
        <v>0</v>
      </c>
      <c r="L668" s="52">
        <f t="shared" si="41"/>
        <v>0</v>
      </c>
    </row>
    <row r="669" spans="3:12" s="53" customFormat="1" ht="27" customHeight="1">
      <c r="C669" s="46" t="s">
        <v>1723</v>
      </c>
      <c r="D669" s="47" t="s">
        <v>1475</v>
      </c>
      <c r="E669" s="48" t="s">
        <v>1864</v>
      </c>
      <c r="F669" s="48" t="s">
        <v>378</v>
      </c>
      <c r="G669" s="49">
        <v>5</v>
      </c>
      <c r="H669" s="148"/>
      <c r="I669" s="50">
        <v>0</v>
      </c>
      <c r="J669" s="50">
        <v>0</v>
      </c>
      <c r="K669" s="50">
        <f>+H669+I669+J669</f>
        <v>0</v>
      </c>
      <c r="L669" s="52">
        <f>+G669*K669</f>
        <v>0</v>
      </c>
    </row>
    <row r="670" spans="3:12" s="53" customFormat="1" ht="27" customHeight="1">
      <c r="C670" s="46" t="s">
        <v>1724</v>
      </c>
      <c r="D670" s="47" t="s">
        <v>1616</v>
      </c>
      <c r="E670" s="48" t="s">
        <v>1864</v>
      </c>
      <c r="F670" s="48" t="s">
        <v>378</v>
      </c>
      <c r="G670" s="49">
        <v>28</v>
      </c>
      <c r="H670" s="148"/>
      <c r="I670" s="50">
        <v>0</v>
      </c>
      <c r="J670" s="50">
        <v>0</v>
      </c>
      <c r="K670" s="50">
        <f>+H670+I670+J670</f>
        <v>0</v>
      </c>
      <c r="L670" s="52">
        <f>+G670*K670</f>
        <v>0</v>
      </c>
    </row>
    <row r="671" spans="3:12" s="53" customFormat="1" ht="27" customHeight="1">
      <c r="C671" s="46" t="s">
        <v>1725</v>
      </c>
      <c r="D671" s="47" t="s">
        <v>1863</v>
      </c>
      <c r="E671" s="48" t="s">
        <v>1514</v>
      </c>
      <c r="F671" s="48" t="s">
        <v>2122</v>
      </c>
      <c r="G671" s="49">
        <v>430</v>
      </c>
      <c r="H671" s="50">
        <v>0</v>
      </c>
      <c r="I671" s="50">
        <v>0</v>
      </c>
      <c r="J671" s="50">
        <v>0</v>
      </c>
      <c r="K671" s="50">
        <f>+H671+I671+J671</f>
        <v>0</v>
      </c>
      <c r="L671" s="52">
        <f>+G671*K671</f>
        <v>0</v>
      </c>
    </row>
    <row r="672" spans="3:12" s="53" customFormat="1" ht="27" customHeight="1">
      <c r="C672" s="46" t="s">
        <v>1726</v>
      </c>
      <c r="D672" s="47" t="s">
        <v>2143</v>
      </c>
      <c r="E672" s="48" t="s">
        <v>2172</v>
      </c>
      <c r="F672" s="48" t="s">
        <v>26</v>
      </c>
      <c r="G672" s="49">
        <v>1</v>
      </c>
      <c r="H672" s="50">
        <v>0</v>
      </c>
      <c r="I672" s="50">
        <v>0</v>
      </c>
      <c r="J672" s="50">
        <v>0</v>
      </c>
      <c r="K672" s="50">
        <f>+H672+I672+J672</f>
        <v>0</v>
      </c>
      <c r="L672" s="52">
        <f>+G672*K672</f>
        <v>0</v>
      </c>
    </row>
    <row r="673" spans="3:12" s="53" customFormat="1" ht="27" customHeight="1">
      <c r="C673" s="46"/>
      <c r="D673" s="47"/>
      <c r="E673" s="48"/>
      <c r="F673" s="48"/>
      <c r="G673" s="49"/>
      <c r="H673" s="50"/>
      <c r="I673" s="50"/>
      <c r="J673" s="50"/>
      <c r="K673" s="50"/>
      <c r="L673" s="52"/>
    </row>
    <row r="674" spans="3:12" s="53" customFormat="1" ht="27" customHeight="1">
      <c r="C674" s="207" t="s">
        <v>1727</v>
      </c>
      <c r="D674" s="159" t="s">
        <v>2275</v>
      </c>
      <c r="E674" s="48"/>
      <c r="F674" s="48"/>
      <c r="G674" s="49"/>
      <c r="H674" s="50"/>
      <c r="I674" s="50"/>
      <c r="J674" s="50"/>
      <c r="K674" s="50"/>
      <c r="L674" s="52"/>
    </row>
    <row r="675" spans="3:12" s="53" customFormat="1" ht="27" customHeight="1">
      <c r="C675" s="46"/>
      <c r="D675" s="47"/>
      <c r="E675" s="48"/>
      <c r="F675" s="48"/>
      <c r="G675" s="49"/>
      <c r="H675" s="50"/>
      <c r="I675" s="50"/>
      <c r="J675" s="50"/>
      <c r="K675" s="50"/>
      <c r="L675" s="52"/>
    </row>
    <row r="676" spans="3:12" s="53" customFormat="1" ht="27" customHeight="1">
      <c r="C676" s="46" t="s">
        <v>1730</v>
      </c>
      <c r="D676" s="47" t="s">
        <v>1728</v>
      </c>
      <c r="E676" s="48" t="s">
        <v>351</v>
      </c>
      <c r="F676" s="48" t="s">
        <v>378</v>
      </c>
      <c r="G676" s="49">
        <v>1</v>
      </c>
      <c r="H676" s="50">
        <v>0</v>
      </c>
      <c r="I676" s="50">
        <v>0</v>
      </c>
      <c r="J676" s="50">
        <v>0</v>
      </c>
      <c r="K676" s="50">
        <f t="shared" ref="K676:K683" si="42">+H676+I676+J676</f>
        <v>0</v>
      </c>
      <c r="L676" s="52">
        <f t="shared" ref="L676:L683" si="43">+G676*K676</f>
        <v>0</v>
      </c>
    </row>
    <row r="677" spans="3:12" s="53" customFormat="1" ht="27" customHeight="1">
      <c r="C677" s="46" t="s">
        <v>1732</v>
      </c>
      <c r="D677" s="47" t="s">
        <v>304</v>
      </c>
      <c r="E677" s="48" t="s">
        <v>351</v>
      </c>
      <c r="F677" s="48" t="s">
        <v>378</v>
      </c>
      <c r="G677" s="49">
        <v>1</v>
      </c>
      <c r="H677" s="50">
        <v>0</v>
      </c>
      <c r="I677" s="50">
        <v>0</v>
      </c>
      <c r="J677" s="50">
        <v>0</v>
      </c>
      <c r="K677" s="50">
        <f t="shared" si="42"/>
        <v>0</v>
      </c>
      <c r="L677" s="52">
        <f t="shared" si="43"/>
        <v>0</v>
      </c>
    </row>
    <row r="678" spans="3:12" s="53" customFormat="1" ht="27" customHeight="1">
      <c r="C678" s="46" t="s">
        <v>1733</v>
      </c>
      <c r="D678" s="47" t="s">
        <v>1603</v>
      </c>
      <c r="E678" s="136" t="s">
        <v>2118</v>
      </c>
      <c r="F678" s="48" t="s">
        <v>378</v>
      </c>
      <c r="G678" s="49">
        <v>1</v>
      </c>
      <c r="H678" s="50">
        <v>0</v>
      </c>
      <c r="I678" s="50">
        <v>0</v>
      </c>
      <c r="J678" s="50">
        <v>0</v>
      </c>
      <c r="K678" s="50">
        <f t="shared" si="42"/>
        <v>0</v>
      </c>
      <c r="L678" s="52">
        <f t="shared" si="43"/>
        <v>0</v>
      </c>
    </row>
    <row r="679" spans="3:12" s="53" customFormat="1" ht="27" customHeight="1">
      <c r="C679" s="46" t="s">
        <v>1734</v>
      </c>
      <c r="D679" s="47" t="s">
        <v>1729</v>
      </c>
      <c r="E679" s="48" t="s">
        <v>1512</v>
      </c>
      <c r="F679" s="48" t="s">
        <v>378</v>
      </c>
      <c r="G679" s="49">
        <v>3</v>
      </c>
      <c r="H679" s="50">
        <v>0</v>
      </c>
      <c r="I679" s="50">
        <v>0</v>
      </c>
      <c r="J679" s="50">
        <v>0</v>
      </c>
      <c r="K679" s="50">
        <f t="shared" si="42"/>
        <v>0</v>
      </c>
      <c r="L679" s="52">
        <f t="shared" si="43"/>
        <v>0</v>
      </c>
    </row>
    <row r="680" spans="3:12" s="53" customFormat="1" ht="27" customHeight="1">
      <c r="C680" s="46" t="s">
        <v>1735</v>
      </c>
      <c r="D680" s="47" t="s">
        <v>1182</v>
      </c>
      <c r="E680" s="48" t="s">
        <v>1188</v>
      </c>
      <c r="F680" s="48" t="s">
        <v>378</v>
      </c>
      <c r="G680" s="49">
        <v>1</v>
      </c>
      <c r="H680" s="50">
        <v>0</v>
      </c>
      <c r="I680" s="50">
        <v>0</v>
      </c>
      <c r="J680" s="50">
        <v>0</v>
      </c>
      <c r="K680" s="50">
        <f t="shared" si="42"/>
        <v>0</v>
      </c>
      <c r="L680" s="52">
        <f t="shared" si="43"/>
        <v>0</v>
      </c>
    </row>
    <row r="681" spans="3:12" s="53" customFormat="1" ht="27" customHeight="1">
      <c r="C681" s="46" t="s">
        <v>1736</v>
      </c>
      <c r="D681" s="47" t="s">
        <v>1605</v>
      </c>
      <c r="E681" s="48" t="s">
        <v>1188</v>
      </c>
      <c r="F681" s="48" t="s">
        <v>378</v>
      </c>
      <c r="G681" s="49">
        <v>1</v>
      </c>
      <c r="H681" s="50">
        <v>0</v>
      </c>
      <c r="I681" s="50">
        <v>0</v>
      </c>
      <c r="J681" s="50">
        <v>0</v>
      </c>
      <c r="K681" s="50">
        <f t="shared" si="42"/>
        <v>0</v>
      </c>
      <c r="L681" s="52">
        <f t="shared" si="43"/>
        <v>0</v>
      </c>
    </row>
    <row r="682" spans="3:12" s="53" customFormat="1" ht="27" customHeight="1">
      <c r="C682" s="46" t="s">
        <v>1731</v>
      </c>
      <c r="D682" s="47" t="s">
        <v>1018</v>
      </c>
      <c r="E682" s="48" t="s">
        <v>1865</v>
      </c>
      <c r="F682" s="48" t="s">
        <v>378</v>
      </c>
      <c r="G682" s="49">
        <v>3</v>
      </c>
      <c r="H682" s="50">
        <v>0</v>
      </c>
      <c r="I682" s="50">
        <v>0</v>
      </c>
      <c r="J682" s="50">
        <v>0</v>
      </c>
      <c r="K682" s="50">
        <f t="shared" si="42"/>
        <v>0</v>
      </c>
      <c r="L682" s="52">
        <f t="shared" si="43"/>
        <v>0</v>
      </c>
    </row>
    <row r="683" spans="3:12" s="53" customFormat="1" ht="27" customHeight="1">
      <c r="C683" s="46" t="s">
        <v>1737</v>
      </c>
      <c r="D683" s="47" t="s">
        <v>1019</v>
      </c>
      <c r="E683" s="48" t="s">
        <v>351</v>
      </c>
      <c r="F683" s="48" t="s">
        <v>378</v>
      </c>
      <c r="G683" s="49">
        <v>3</v>
      </c>
      <c r="H683" s="50">
        <v>0</v>
      </c>
      <c r="I683" s="50">
        <v>0</v>
      </c>
      <c r="J683" s="50">
        <v>0</v>
      </c>
      <c r="K683" s="50">
        <f t="shared" si="42"/>
        <v>0</v>
      </c>
      <c r="L683" s="52">
        <f t="shared" si="43"/>
        <v>0</v>
      </c>
    </row>
    <row r="684" spans="3:12" s="53" customFormat="1" ht="27" customHeight="1">
      <c r="C684" s="46" t="s">
        <v>1738</v>
      </c>
      <c r="D684" s="47" t="s">
        <v>1184</v>
      </c>
      <c r="E684" s="48" t="s">
        <v>354</v>
      </c>
      <c r="F684" s="48" t="s">
        <v>378</v>
      </c>
      <c r="G684" s="49">
        <v>1</v>
      </c>
      <c r="H684" s="50">
        <v>0</v>
      </c>
      <c r="I684" s="50">
        <v>0</v>
      </c>
      <c r="J684" s="50">
        <v>0</v>
      </c>
      <c r="K684" s="50">
        <f t="shared" ref="K684:K698" si="44">+H684+I684+J684</f>
        <v>0</v>
      </c>
      <c r="L684" s="52">
        <f t="shared" ref="L684:L698" si="45">+G684*K684</f>
        <v>0</v>
      </c>
    </row>
    <row r="685" spans="3:12" s="53" customFormat="1" ht="27" customHeight="1">
      <c r="C685" s="46" t="s">
        <v>1739</v>
      </c>
      <c r="D685" s="47" t="s">
        <v>1185</v>
      </c>
      <c r="E685" s="48" t="s">
        <v>354</v>
      </c>
      <c r="F685" s="48" t="s">
        <v>378</v>
      </c>
      <c r="G685" s="49">
        <v>3</v>
      </c>
      <c r="H685" s="50">
        <v>0</v>
      </c>
      <c r="I685" s="50">
        <v>0</v>
      </c>
      <c r="J685" s="50">
        <v>0</v>
      </c>
      <c r="K685" s="50">
        <f t="shared" si="44"/>
        <v>0</v>
      </c>
      <c r="L685" s="52">
        <f t="shared" si="45"/>
        <v>0</v>
      </c>
    </row>
    <row r="686" spans="3:12" s="53" customFormat="1" ht="27" customHeight="1">
      <c r="C686" s="46" t="s">
        <v>1740</v>
      </c>
      <c r="D686" s="47" t="s">
        <v>1478</v>
      </c>
      <c r="E686" s="48" t="s">
        <v>2125</v>
      </c>
      <c r="F686" s="48" t="s">
        <v>378</v>
      </c>
      <c r="G686" s="49">
        <v>1</v>
      </c>
      <c r="H686" s="50">
        <v>0</v>
      </c>
      <c r="I686" s="50">
        <v>0</v>
      </c>
      <c r="J686" s="50">
        <v>0</v>
      </c>
      <c r="K686" s="50">
        <f t="shared" si="44"/>
        <v>0</v>
      </c>
      <c r="L686" s="52">
        <f t="shared" si="45"/>
        <v>0</v>
      </c>
    </row>
    <row r="687" spans="3:12" s="53" customFormat="1" ht="27" customHeight="1">
      <c r="C687" s="46" t="s">
        <v>1741</v>
      </c>
      <c r="D687" s="47" t="s">
        <v>1606</v>
      </c>
      <c r="E687" s="48" t="s">
        <v>1651</v>
      </c>
      <c r="F687" s="48" t="s">
        <v>378</v>
      </c>
      <c r="G687" s="49">
        <v>1</v>
      </c>
      <c r="H687" s="50">
        <v>0</v>
      </c>
      <c r="I687" s="50">
        <v>0</v>
      </c>
      <c r="J687" s="50">
        <v>0</v>
      </c>
      <c r="K687" s="50">
        <f t="shared" si="44"/>
        <v>0</v>
      </c>
      <c r="L687" s="52">
        <f t="shared" si="45"/>
        <v>0</v>
      </c>
    </row>
    <row r="688" spans="3:12" s="53" customFormat="1" ht="27" customHeight="1">
      <c r="C688" s="46" t="s">
        <v>1742</v>
      </c>
      <c r="D688" s="47" t="s">
        <v>1608</v>
      </c>
      <c r="E688" s="48" t="s">
        <v>351</v>
      </c>
      <c r="F688" s="48" t="s">
        <v>378</v>
      </c>
      <c r="G688" s="49">
        <v>1</v>
      </c>
      <c r="H688" s="50">
        <v>0</v>
      </c>
      <c r="I688" s="50">
        <v>0</v>
      </c>
      <c r="J688" s="50">
        <v>0</v>
      </c>
      <c r="K688" s="50">
        <f t="shared" si="44"/>
        <v>0</v>
      </c>
      <c r="L688" s="52">
        <f t="shared" si="45"/>
        <v>0</v>
      </c>
    </row>
    <row r="689" spans="3:12" s="53" customFormat="1" ht="27" customHeight="1">
      <c r="C689" s="46" t="s">
        <v>1743</v>
      </c>
      <c r="D689" s="47" t="s">
        <v>1609</v>
      </c>
      <c r="E689" s="48" t="s">
        <v>351</v>
      </c>
      <c r="F689" s="48" t="s">
        <v>378</v>
      </c>
      <c r="G689" s="49">
        <v>1</v>
      </c>
      <c r="H689" s="50">
        <v>0</v>
      </c>
      <c r="I689" s="50">
        <v>0</v>
      </c>
      <c r="J689" s="50">
        <v>0</v>
      </c>
      <c r="K689" s="50">
        <f t="shared" si="44"/>
        <v>0</v>
      </c>
      <c r="L689" s="52">
        <f t="shared" si="45"/>
        <v>0</v>
      </c>
    </row>
    <row r="690" spans="3:12" s="53" customFormat="1" ht="27" customHeight="1">
      <c r="C690" s="46" t="s">
        <v>1744</v>
      </c>
      <c r="D690" s="47" t="s">
        <v>1610</v>
      </c>
      <c r="E690" s="48" t="s">
        <v>1512</v>
      </c>
      <c r="F690" s="48" t="s">
        <v>378</v>
      </c>
      <c r="G690" s="49">
        <v>3</v>
      </c>
      <c r="H690" s="50">
        <v>0</v>
      </c>
      <c r="I690" s="50">
        <v>0</v>
      </c>
      <c r="J690" s="50">
        <v>0</v>
      </c>
      <c r="K690" s="50">
        <f t="shared" si="44"/>
        <v>0</v>
      </c>
      <c r="L690" s="52">
        <f t="shared" si="45"/>
        <v>0</v>
      </c>
    </row>
    <row r="691" spans="3:12" s="53" customFormat="1" ht="27" customHeight="1">
      <c r="C691" s="46" t="s">
        <v>1745</v>
      </c>
      <c r="D691" s="47" t="s">
        <v>1611</v>
      </c>
      <c r="E691" s="48" t="s">
        <v>1512</v>
      </c>
      <c r="F691" s="48" t="s">
        <v>378</v>
      </c>
      <c r="G691" s="49">
        <v>3</v>
      </c>
      <c r="H691" s="50">
        <v>0</v>
      </c>
      <c r="I691" s="50">
        <v>0</v>
      </c>
      <c r="J691" s="50">
        <v>0</v>
      </c>
      <c r="K691" s="50">
        <f t="shared" si="44"/>
        <v>0</v>
      </c>
      <c r="L691" s="52">
        <f t="shared" si="45"/>
        <v>0</v>
      </c>
    </row>
    <row r="692" spans="3:12" s="53" customFormat="1" ht="27" customHeight="1">
      <c r="C692" s="46" t="s">
        <v>1746</v>
      </c>
      <c r="D692" s="47" t="s">
        <v>1520</v>
      </c>
      <c r="E692" s="48" t="s">
        <v>351</v>
      </c>
      <c r="F692" s="48" t="s">
        <v>378</v>
      </c>
      <c r="G692" s="49">
        <v>10</v>
      </c>
      <c r="H692" s="50">
        <v>0</v>
      </c>
      <c r="I692" s="50">
        <v>0</v>
      </c>
      <c r="J692" s="50">
        <v>0</v>
      </c>
      <c r="K692" s="50">
        <f t="shared" si="44"/>
        <v>0</v>
      </c>
      <c r="L692" s="52">
        <f t="shared" si="45"/>
        <v>0</v>
      </c>
    </row>
    <row r="693" spans="3:12" s="53" customFormat="1" ht="27" customHeight="1">
      <c r="C693" s="46" t="s">
        <v>1747</v>
      </c>
      <c r="D693" s="47" t="s">
        <v>1613</v>
      </c>
      <c r="E693" s="48" t="s">
        <v>351</v>
      </c>
      <c r="F693" s="48" t="s">
        <v>378</v>
      </c>
      <c r="G693" s="49">
        <v>40</v>
      </c>
      <c r="H693" s="50">
        <v>0</v>
      </c>
      <c r="I693" s="50">
        <v>0</v>
      </c>
      <c r="J693" s="50">
        <v>0</v>
      </c>
      <c r="K693" s="50">
        <f t="shared" si="44"/>
        <v>0</v>
      </c>
      <c r="L693" s="52">
        <f t="shared" si="45"/>
        <v>0</v>
      </c>
    </row>
    <row r="694" spans="3:12" s="53" customFormat="1" ht="27" customHeight="1">
      <c r="C694" s="46" t="s">
        <v>1748</v>
      </c>
      <c r="D694" s="47" t="s">
        <v>1521</v>
      </c>
      <c r="E694" s="48" t="s">
        <v>351</v>
      </c>
      <c r="F694" s="48" t="s">
        <v>378</v>
      </c>
      <c r="G694" s="49">
        <v>14</v>
      </c>
      <c r="H694" s="50">
        <v>0</v>
      </c>
      <c r="I694" s="50">
        <v>0</v>
      </c>
      <c r="J694" s="50">
        <v>0</v>
      </c>
      <c r="K694" s="50">
        <f t="shared" si="44"/>
        <v>0</v>
      </c>
      <c r="L694" s="52">
        <f t="shared" si="45"/>
        <v>0</v>
      </c>
    </row>
    <row r="695" spans="3:12" s="53" customFormat="1" ht="27" customHeight="1">
      <c r="C695" s="46" t="s">
        <v>1749</v>
      </c>
      <c r="D695" s="47" t="s">
        <v>1181</v>
      </c>
      <c r="E695" s="48" t="s">
        <v>351</v>
      </c>
      <c r="F695" s="48" t="s">
        <v>378</v>
      </c>
      <c r="G695" s="49">
        <v>2</v>
      </c>
      <c r="H695" s="50">
        <v>0</v>
      </c>
      <c r="I695" s="50">
        <v>0</v>
      </c>
      <c r="J695" s="50">
        <v>0</v>
      </c>
      <c r="K695" s="50">
        <f t="shared" si="44"/>
        <v>0</v>
      </c>
      <c r="L695" s="52">
        <f t="shared" si="45"/>
        <v>0</v>
      </c>
    </row>
    <row r="696" spans="3:12" s="53" customFormat="1" ht="27" customHeight="1">
      <c r="C696" s="46" t="s">
        <v>1750</v>
      </c>
      <c r="D696" s="47" t="s">
        <v>1182</v>
      </c>
      <c r="E696" s="48" t="s">
        <v>1188</v>
      </c>
      <c r="F696" s="48" t="s">
        <v>378</v>
      </c>
      <c r="G696" s="49">
        <v>2</v>
      </c>
      <c r="H696" s="50">
        <v>0</v>
      </c>
      <c r="I696" s="50">
        <v>0</v>
      </c>
      <c r="J696" s="50">
        <v>0</v>
      </c>
      <c r="K696" s="50">
        <f t="shared" si="44"/>
        <v>0</v>
      </c>
      <c r="L696" s="52">
        <f t="shared" si="45"/>
        <v>0</v>
      </c>
    </row>
    <row r="697" spans="3:12" s="53" customFormat="1" ht="27" customHeight="1">
      <c r="C697" s="46" t="s">
        <v>1751</v>
      </c>
      <c r="D697" s="47" t="s">
        <v>1183</v>
      </c>
      <c r="E697" s="48" t="s">
        <v>1188</v>
      </c>
      <c r="F697" s="48" t="s">
        <v>378</v>
      </c>
      <c r="G697" s="49">
        <v>2</v>
      </c>
      <c r="H697" s="50">
        <v>0</v>
      </c>
      <c r="I697" s="50">
        <v>0</v>
      </c>
      <c r="J697" s="50">
        <v>0</v>
      </c>
      <c r="K697" s="50">
        <f t="shared" si="44"/>
        <v>0</v>
      </c>
      <c r="L697" s="52">
        <f t="shared" si="45"/>
        <v>0</v>
      </c>
    </row>
    <row r="698" spans="3:12" s="53" customFormat="1" ht="27" customHeight="1">
      <c r="C698" s="46" t="s">
        <v>1752</v>
      </c>
      <c r="D698" s="47" t="s">
        <v>2242</v>
      </c>
      <c r="E698" s="48" t="s">
        <v>351</v>
      </c>
      <c r="F698" s="48" t="s">
        <v>378</v>
      </c>
      <c r="G698" s="49">
        <v>5</v>
      </c>
      <c r="H698" s="50">
        <v>0</v>
      </c>
      <c r="I698" s="50">
        <v>0</v>
      </c>
      <c r="J698" s="50">
        <v>0</v>
      </c>
      <c r="K698" s="50">
        <f t="shared" si="44"/>
        <v>0</v>
      </c>
      <c r="L698" s="52">
        <f t="shared" si="45"/>
        <v>0</v>
      </c>
    </row>
    <row r="699" spans="3:12" s="53" customFormat="1" ht="27" customHeight="1">
      <c r="C699" s="46" t="s">
        <v>1753</v>
      </c>
      <c r="D699" s="47" t="s">
        <v>2239</v>
      </c>
      <c r="E699" s="48" t="s">
        <v>351</v>
      </c>
      <c r="F699" s="48" t="s">
        <v>378</v>
      </c>
      <c r="G699" s="49">
        <v>20</v>
      </c>
      <c r="H699" s="50">
        <v>0</v>
      </c>
      <c r="I699" s="50">
        <v>0</v>
      </c>
      <c r="J699" s="50">
        <v>0</v>
      </c>
      <c r="K699" s="50">
        <f t="shared" ref="K699:K705" si="46">+H699+I699+J699</f>
        <v>0</v>
      </c>
      <c r="L699" s="52">
        <f t="shared" ref="L699:L705" si="47">+G699*K699</f>
        <v>0</v>
      </c>
    </row>
    <row r="700" spans="3:12" s="53" customFormat="1" ht="27" customHeight="1">
      <c r="C700" s="46" t="s">
        <v>1754</v>
      </c>
      <c r="D700" s="47" t="s">
        <v>2240</v>
      </c>
      <c r="E700" s="48" t="s">
        <v>351</v>
      </c>
      <c r="F700" s="48" t="s">
        <v>378</v>
      </c>
      <c r="G700" s="49">
        <v>7</v>
      </c>
      <c r="H700" s="50">
        <v>0</v>
      </c>
      <c r="I700" s="50">
        <v>0</v>
      </c>
      <c r="J700" s="50">
        <v>0</v>
      </c>
      <c r="K700" s="50">
        <f t="shared" si="46"/>
        <v>0</v>
      </c>
      <c r="L700" s="52">
        <f t="shared" si="47"/>
        <v>0</v>
      </c>
    </row>
    <row r="701" spans="3:12" s="53" customFormat="1" ht="27" customHeight="1">
      <c r="C701" s="46" t="s">
        <v>1755</v>
      </c>
      <c r="D701" s="47" t="s">
        <v>1615</v>
      </c>
      <c r="E701" s="136" t="s">
        <v>2124</v>
      </c>
      <c r="F701" s="48" t="s">
        <v>26</v>
      </c>
      <c r="G701" s="49">
        <v>39</v>
      </c>
      <c r="H701" s="50">
        <v>0</v>
      </c>
      <c r="I701" s="50">
        <v>0</v>
      </c>
      <c r="J701" s="50">
        <v>0</v>
      </c>
      <c r="K701" s="50">
        <f t="shared" si="46"/>
        <v>0</v>
      </c>
      <c r="L701" s="52">
        <f t="shared" si="47"/>
        <v>0</v>
      </c>
    </row>
    <row r="702" spans="3:12" s="53" customFormat="1" ht="27" customHeight="1">
      <c r="C702" s="46" t="s">
        <v>1756</v>
      </c>
      <c r="D702" s="47" t="s">
        <v>1475</v>
      </c>
      <c r="E702" s="48" t="s">
        <v>1864</v>
      </c>
      <c r="F702" s="48" t="s">
        <v>378</v>
      </c>
      <c r="G702" s="49">
        <v>2</v>
      </c>
      <c r="H702" s="148"/>
      <c r="I702" s="50">
        <v>0</v>
      </c>
      <c r="J702" s="50">
        <v>0</v>
      </c>
      <c r="K702" s="50">
        <f t="shared" si="46"/>
        <v>0</v>
      </c>
      <c r="L702" s="52">
        <f t="shared" si="47"/>
        <v>0</v>
      </c>
    </row>
    <row r="703" spans="3:12" s="53" customFormat="1" ht="27" customHeight="1">
      <c r="C703" s="46" t="s">
        <v>1757</v>
      </c>
      <c r="D703" s="47" t="s">
        <v>1616</v>
      </c>
      <c r="E703" s="48" t="s">
        <v>1864</v>
      </c>
      <c r="F703" s="48" t="s">
        <v>378</v>
      </c>
      <c r="G703" s="49">
        <v>32</v>
      </c>
      <c r="H703" s="148"/>
      <c r="I703" s="50">
        <v>0</v>
      </c>
      <c r="J703" s="50">
        <v>0</v>
      </c>
      <c r="K703" s="50">
        <f t="shared" si="46"/>
        <v>0</v>
      </c>
      <c r="L703" s="52">
        <f t="shared" si="47"/>
        <v>0</v>
      </c>
    </row>
    <row r="704" spans="3:12" s="53" customFormat="1" ht="27" customHeight="1">
      <c r="C704" s="46" t="s">
        <v>1758</v>
      </c>
      <c r="D704" s="47" t="s">
        <v>1486</v>
      </c>
      <c r="E704" s="48" t="s">
        <v>1514</v>
      </c>
      <c r="F704" s="48" t="s">
        <v>2122</v>
      </c>
      <c r="G704" s="49">
        <v>250</v>
      </c>
      <c r="H704" s="50">
        <v>0</v>
      </c>
      <c r="I704" s="50">
        <v>0</v>
      </c>
      <c r="J704" s="50">
        <v>0</v>
      </c>
      <c r="K704" s="50">
        <f t="shared" si="46"/>
        <v>0</v>
      </c>
      <c r="L704" s="52">
        <f t="shared" si="47"/>
        <v>0</v>
      </c>
    </row>
    <row r="705" spans="3:12" s="53" customFormat="1" ht="27" customHeight="1">
      <c r="C705" s="46" t="s">
        <v>1759</v>
      </c>
      <c r="D705" s="47" t="s">
        <v>2144</v>
      </c>
      <c r="E705" s="48" t="s">
        <v>2172</v>
      </c>
      <c r="F705" s="48" t="s">
        <v>26</v>
      </c>
      <c r="G705" s="49">
        <v>1</v>
      </c>
      <c r="H705" s="50">
        <v>0</v>
      </c>
      <c r="I705" s="50">
        <v>0</v>
      </c>
      <c r="J705" s="50">
        <v>0</v>
      </c>
      <c r="K705" s="50">
        <f t="shared" si="46"/>
        <v>0</v>
      </c>
      <c r="L705" s="52">
        <f t="shared" si="47"/>
        <v>0</v>
      </c>
    </row>
    <row r="706" spans="3:12" s="53" customFormat="1" ht="27" customHeight="1">
      <c r="C706" s="46"/>
      <c r="D706" s="47"/>
      <c r="E706" s="48"/>
      <c r="F706" s="48"/>
      <c r="G706" s="49"/>
      <c r="H706" s="50"/>
      <c r="I706" s="50"/>
      <c r="J706" s="50"/>
      <c r="K706" s="50"/>
      <c r="L706" s="52"/>
    </row>
    <row r="707" spans="3:12" s="53" customFormat="1" ht="27" customHeight="1">
      <c r="C707" s="207" t="s">
        <v>1760</v>
      </c>
      <c r="D707" s="159" t="s">
        <v>1858</v>
      </c>
      <c r="E707" s="48"/>
      <c r="F707" s="48"/>
      <c r="G707" s="49"/>
      <c r="H707" s="50"/>
      <c r="I707" s="50"/>
      <c r="J707" s="50"/>
      <c r="K707" s="50"/>
      <c r="L707" s="52"/>
    </row>
    <row r="708" spans="3:12" s="53" customFormat="1" ht="27" customHeight="1">
      <c r="C708" s="46"/>
      <c r="D708" s="47"/>
      <c r="E708" s="48"/>
      <c r="F708" s="48"/>
      <c r="G708" s="49"/>
      <c r="H708" s="50"/>
      <c r="I708" s="50"/>
      <c r="J708" s="50"/>
      <c r="K708" s="50"/>
      <c r="L708" s="52"/>
    </row>
    <row r="709" spans="3:12" s="53" customFormat="1" ht="27" customHeight="1">
      <c r="C709" s="207" t="s">
        <v>1772</v>
      </c>
      <c r="D709" s="159" t="s">
        <v>2178</v>
      </c>
      <c r="E709" s="48"/>
      <c r="F709" s="48"/>
      <c r="G709" s="49"/>
      <c r="H709" s="50"/>
      <c r="I709" s="50"/>
      <c r="J709" s="50"/>
      <c r="K709" s="50"/>
      <c r="L709" s="52"/>
    </row>
    <row r="710" spans="3:12" s="53" customFormat="1" ht="27" customHeight="1">
      <c r="C710" s="46"/>
      <c r="D710" s="47"/>
      <c r="E710" s="48"/>
      <c r="F710" s="48"/>
      <c r="G710" s="49"/>
      <c r="H710" s="50"/>
      <c r="I710" s="50"/>
      <c r="J710" s="50"/>
      <c r="K710" s="50"/>
      <c r="L710" s="52"/>
    </row>
    <row r="711" spans="3:12" s="53" customFormat="1" ht="27" customHeight="1">
      <c r="C711" s="46" t="s">
        <v>1773</v>
      </c>
      <c r="D711" s="47" t="s">
        <v>2243</v>
      </c>
      <c r="E711" s="48" t="s">
        <v>351</v>
      </c>
      <c r="F711" s="48" t="s">
        <v>378</v>
      </c>
      <c r="G711" s="49">
        <v>12</v>
      </c>
      <c r="H711" s="50">
        <v>0</v>
      </c>
      <c r="I711" s="50">
        <v>0</v>
      </c>
      <c r="J711" s="50">
        <v>0</v>
      </c>
      <c r="K711" s="50">
        <f t="shared" ref="K711:K718" si="48">+H711+I711+J711</f>
        <v>0</v>
      </c>
      <c r="L711" s="52">
        <f t="shared" ref="L711:L718" si="49">+G711*K711</f>
        <v>0</v>
      </c>
    </row>
    <row r="712" spans="3:12" s="53" customFormat="1" ht="27" customHeight="1">
      <c r="C712" s="46" t="s">
        <v>1776</v>
      </c>
      <c r="D712" s="47" t="s">
        <v>1762</v>
      </c>
      <c r="E712" s="48" t="s">
        <v>351</v>
      </c>
      <c r="F712" s="48" t="s">
        <v>378</v>
      </c>
      <c r="G712" s="49">
        <v>12</v>
      </c>
      <c r="H712" s="50">
        <v>0</v>
      </c>
      <c r="I712" s="50">
        <v>0</v>
      </c>
      <c r="J712" s="50">
        <v>0</v>
      </c>
      <c r="K712" s="50">
        <f t="shared" si="48"/>
        <v>0</v>
      </c>
      <c r="L712" s="52">
        <f t="shared" si="49"/>
        <v>0</v>
      </c>
    </row>
    <row r="713" spans="3:12" s="53" customFormat="1" ht="27" customHeight="1">
      <c r="C713" s="46" t="s">
        <v>1774</v>
      </c>
      <c r="D713" s="47" t="s">
        <v>1024</v>
      </c>
      <c r="E713" s="48" t="s">
        <v>351</v>
      </c>
      <c r="F713" s="48" t="s">
        <v>378</v>
      </c>
      <c r="G713" s="49">
        <v>12</v>
      </c>
      <c r="H713" s="50">
        <v>0</v>
      </c>
      <c r="I713" s="50">
        <v>0</v>
      </c>
      <c r="J713" s="50">
        <v>0</v>
      </c>
      <c r="K713" s="50">
        <f t="shared" si="48"/>
        <v>0</v>
      </c>
      <c r="L713" s="52">
        <f t="shared" si="49"/>
        <v>0</v>
      </c>
    </row>
    <row r="714" spans="3:12" s="53" customFormat="1" ht="27" customHeight="1">
      <c r="C714" s="46" t="s">
        <v>1777</v>
      </c>
      <c r="D714" s="47" t="s">
        <v>1019</v>
      </c>
      <c r="E714" s="48" t="s">
        <v>351</v>
      </c>
      <c r="F714" s="48" t="s">
        <v>378</v>
      </c>
      <c r="G714" s="49">
        <v>36</v>
      </c>
      <c r="H714" s="50">
        <v>0</v>
      </c>
      <c r="I714" s="50">
        <v>0</v>
      </c>
      <c r="J714" s="50">
        <v>0</v>
      </c>
      <c r="K714" s="50">
        <f t="shared" si="48"/>
        <v>0</v>
      </c>
      <c r="L714" s="52">
        <f t="shared" si="49"/>
        <v>0</v>
      </c>
    </row>
    <row r="715" spans="3:12" s="53" customFormat="1" ht="27" customHeight="1">
      <c r="C715" s="46" t="s">
        <v>1775</v>
      </c>
      <c r="D715" s="47" t="s">
        <v>1018</v>
      </c>
      <c r="E715" s="48" t="s">
        <v>1865</v>
      </c>
      <c r="F715" s="48" t="s">
        <v>378</v>
      </c>
      <c r="G715" s="49">
        <v>36</v>
      </c>
      <c r="H715" s="50">
        <v>0</v>
      </c>
      <c r="I715" s="50">
        <v>0</v>
      </c>
      <c r="J715" s="50">
        <v>0</v>
      </c>
      <c r="K715" s="50">
        <f t="shared" si="48"/>
        <v>0</v>
      </c>
      <c r="L715" s="52">
        <f t="shared" si="49"/>
        <v>0</v>
      </c>
    </row>
    <row r="716" spans="3:12" s="53" customFormat="1" ht="27" customHeight="1">
      <c r="C716" s="46" t="s">
        <v>1778</v>
      </c>
      <c r="D716" s="47" t="s">
        <v>1761</v>
      </c>
      <c r="E716" s="136" t="s">
        <v>2124</v>
      </c>
      <c r="F716" s="48" t="s">
        <v>26</v>
      </c>
      <c r="G716" s="49">
        <v>60</v>
      </c>
      <c r="H716" s="50">
        <v>0</v>
      </c>
      <c r="I716" s="50">
        <v>0</v>
      </c>
      <c r="J716" s="50">
        <v>0</v>
      </c>
      <c r="K716" s="50">
        <f t="shared" si="48"/>
        <v>0</v>
      </c>
      <c r="L716" s="52">
        <f t="shared" si="49"/>
        <v>0</v>
      </c>
    </row>
    <row r="717" spans="3:12" s="53" customFormat="1" ht="27" customHeight="1">
      <c r="C717" s="46" t="s">
        <v>1779</v>
      </c>
      <c r="D717" s="47" t="s">
        <v>1040</v>
      </c>
      <c r="E717" s="136" t="s">
        <v>2124</v>
      </c>
      <c r="F717" s="48" t="s">
        <v>26</v>
      </c>
      <c r="G717" s="49">
        <v>12</v>
      </c>
      <c r="H717" s="50">
        <v>0</v>
      </c>
      <c r="I717" s="50">
        <v>0</v>
      </c>
      <c r="J717" s="50">
        <v>0</v>
      </c>
      <c r="K717" s="50">
        <f t="shared" si="48"/>
        <v>0</v>
      </c>
      <c r="L717" s="52">
        <f t="shared" si="49"/>
        <v>0</v>
      </c>
    </row>
    <row r="718" spans="3:12" s="53" customFormat="1" ht="27" customHeight="1">
      <c r="C718" s="46" t="s">
        <v>1780</v>
      </c>
      <c r="D718" s="47" t="s">
        <v>2145</v>
      </c>
      <c r="E718" s="48" t="s">
        <v>2172</v>
      </c>
      <c r="F718" s="48" t="s">
        <v>26</v>
      </c>
      <c r="G718" s="49">
        <v>12</v>
      </c>
      <c r="H718" s="50">
        <v>0</v>
      </c>
      <c r="I718" s="50">
        <v>0</v>
      </c>
      <c r="J718" s="50">
        <v>0</v>
      </c>
      <c r="K718" s="50">
        <f t="shared" si="48"/>
        <v>0</v>
      </c>
      <c r="L718" s="52">
        <f t="shared" si="49"/>
        <v>0</v>
      </c>
    </row>
    <row r="719" spans="3:12" s="53" customFormat="1" ht="27" customHeight="1">
      <c r="C719" s="46"/>
      <c r="D719" s="47"/>
      <c r="E719" s="48"/>
      <c r="F719" s="48"/>
      <c r="G719" s="49"/>
      <c r="H719" s="50"/>
      <c r="I719" s="50"/>
      <c r="J719" s="50"/>
      <c r="K719" s="50"/>
      <c r="L719" s="52"/>
    </row>
    <row r="720" spans="3:12" s="53" customFormat="1" ht="27" customHeight="1">
      <c r="C720" s="207" t="s">
        <v>1781</v>
      </c>
      <c r="D720" s="159" t="s">
        <v>2177</v>
      </c>
      <c r="E720" s="48"/>
      <c r="F720" s="48"/>
      <c r="G720" s="49"/>
      <c r="H720" s="50"/>
      <c r="I720" s="50"/>
      <c r="J720" s="50"/>
      <c r="K720" s="50"/>
      <c r="L720" s="52"/>
    </row>
    <row r="721" spans="3:12" s="53" customFormat="1" ht="27" customHeight="1">
      <c r="C721" s="46"/>
      <c r="D721" s="47"/>
      <c r="E721" s="48"/>
      <c r="F721" s="48"/>
      <c r="G721" s="49"/>
      <c r="H721" s="50"/>
      <c r="I721" s="50"/>
      <c r="J721" s="50"/>
      <c r="K721" s="50"/>
      <c r="L721" s="52"/>
    </row>
    <row r="722" spans="3:12" s="53" customFormat="1" ht="27" customHeight="1">
      <c r="C722" s="46" t="s">
        <v>1785</v>
      </c>
      <c r="D722" s="47" t="s">
        <v>2244</v>
      </c>
      <c r="E722" s="48" t="s">
        <v>351</v>
      </c>
      <c r="F722" s="48" t="s">
        <v>378</v>
      </c>
      <c r="G722" s="49">
        <v>7</v>
      </c>
      <c r="H722" s="50">
        <v>0</v>
      </c>
      <c r="I722" s="50">
        <v>0</v>
      </c>
      <c r="J722" s="50">
        <v>0</v>
      </c>
      <c r="K722" s="50">
        <f t="shared" ref="K722:K737" si="50">+H722+I722+J722</f>
        <v>0</v>
      </c>
      <c r="L722" s="52">
        <f t="shared" ref="L722:L737" si="51">+G722*K722</f>
        <v>0</v>
      </c>
    </row>
    <row r="723" spans="3:12" s="53" customFormat="1" ht="27" customHeight="1">
      <c r="C723" s="46" t="s">
        <v>1786</v>
      </c>
      <c r="D723" s="47" t="s">
        <v>2226</v>
      </c>
      <c r="E723" s="48" t="s">
        <v>351</v>
      </c>
      <c r="F723" s="48" t="s">
        <v>378</v>
      </c>
      <c r="G723" s="49">
        <v>7</v>
      </c>
      <c r="H723" s="50">
        <v>0</v>
      </c>
      <c r="I723" s="50">
        <v>0</v>
      </c>
      <c r="J723" s="50">
        <v>0</v>
      </c>
      <c r="K723" s="50">
        <f t="shared" si="50"/>
        <v>0</v>
      </c>
      <c r="L723" s="52">
        <f t="shared" si="51"/>
        <v>0</v>
      </c>
    </row>
    <row r="724" spans="3:12" s="53" customFormat="1" ht="27" customHeight="1">
      <c r="C724" s="46" t="s">
        <v>1787</v>
      </c>
      <c r="D724" s="47" t="s">
        <v>1024</v>
      </c>
      <c r="E724" s="48" t="s">
        <v>351</v>
      </c>
      <c r="F724" s="48" t="s">
        <v>378</v>
      </c>
      <c r="G724" s="49">
        <v>7</v>
      </c>
      <c r="H724" s="50">
        <v>0</v>
      </c>
      <c r="I724" s="50">
        <v>0</v>
      </c>
      <c r="J724" s="50">
        <v>0</v>
      </c>
      <c r="K724" s="50">
        <f t="shared" si="50"/>
        <v>0</v>
      </c>
      <c r="L724" s="52">
        <f t="shared" si="51"/>
        <v>0</v>
      </c>
    </row>
    <row r="725" spans="3:12" s="53" customFormat="1" ht="27" customHeight="1">
      <c r="C725" s="46" t="s">
        <v>1788</v>
      </c>
      <c r="D725" s="47" t="s">
        <v>1019</v>
      </c>
      <c r="E725" s="48" t="s">
        <v>351</v>
      </c>
      <c r="F725" s="48" t="s">
        <v>378</v>
      </c>
      <c r="G725" s="49">
        <v>21</v>
      </c>
      <c r="H725" s="50">
        <v>0</v>
      </c>
      <c r="I725" s="50">
        <v>0</v>
      </c>
      <c r="J725" s="50">
        <v>0</v>
      </c>
      <c r="K725" s="50">
        <f t="shared" si="50"/>
        <v>0</v>
      </c>
      <c r="L725" s="52">
        <f t="shared" si="51"/>
        <v>0</v>
      </c>
    </row>
    <row r="726" spans="3:12" s="53" customFormat="1" ht="27" customHeight="1">
      <c r="C726" s="46" t="s">
        <v>1789</v>
      </c>
      <c r="D726" s="47" t="s">
        <v>1018</v>
      </c>
      <c r="E726" s="48" t="s">
        <v>1865</v>
      </c>
      <c r="F726" s="48" t="s">
        <v>378</v>
      </c>
      <c r="G726" s="49">
        <v>21</v>
      </c>
      <c r="H726" s="50">
        <v>0</v>
      </c>
      <c r="I726" s="50">
        <v>0</v>
      </c>
      <c r="J726" s="50">
        <v>0</v>
      </c>
      <c r="K726" s="50">
        <f t="shared" si="50"/>
        <v>0</v>
      </c>
      <c r="L726" s="52">
        <f t="shared" si="51"/>
        <v>0</v>
      </c>
    </row>
    <row r="727" spans="3:12" s="53" customFormat="1" ht="27" customHeight="1">
      <c r="C727" s="46" t="s">
        <v>1790</v>
      </c>
      <c r="D727" s="47" t="s">
        <v>1761</v>
      </c>
      <c r="E727" s="136" t="s">
        <v>2124</v>
      </c>
      <c r="F727" s="48" t="s">
        <v>26</v>
      </c>
      <c r="G727" s="49">
        <v>35</v>
      </c>
      <c r="H727" s="50">
        <v>0</v>
      </c>
      <c r="I727" s="50">
        <v>0</v>
      </c>
      <c r="J727" s="50">
        <v>0</v>
      </c>
      <c r="K727" s="50">
        <f t="shared" si="50"/>
        <v>0</v>
      </c>
      <c r="L727" s="52">
        <f t="shared" si="51"/>
        <v>0</v>
      </c>
    </row>
    <row r="728" spans="3:12" s="53" customFormat="1" ht="27" customHeight="1">
      <c r="C728" s="46" t="s">
        <v>1791</v>
      </c>
      <c r="D728" s="47" t="s">
        <v>1040</v>
      </c>
      <c r="E728" s="136" t="s">
        <v>2124</v>
      </c>
      <c r="F728" s="48" t="s">
        <v>26</v>
      </c>
      <c r="G728" s="49">
        <v>7</v>
      </c>
      <c r="H728" s="50">
        <v>0</v>
      </c>
      <c r="I728" s="50">
        <v>0</v>
      </c>
      <c r="J728" s="50">
        <v>0</v>
      </c>
      <c r="K728" s="50">
        <f t="shared" si="50"/>
        <v>0</v>
      </c>
      <c r="L728" s="52">
        <f t="shared" si="51"/>
        <v>0</v>
      </c>
    </row>
    <row r="729" spans="3:12" s="53" customFormat="1" ht="27" customHeight="1">
      <c r="C729" s="46" t="s">
        <v>1792</v>
      </c>
      <c r="D729" s="47" t="s">
        <v>2145</v>
      </c>
      <c r="E729" s="48" t="s">
        <v>2172</v>
      </c>
      <c r="F729" s="48" t="s">
        <v>26</v>
      </c>
      <c r="G729" s="49">
        <v>7</v>
      </c>
      <c r="H729" s="50">
        <v>0</v>
      </c>
      <c r="I729" s="50">
        <v>0</v>
      </c>
      <c r="J729" s="50">
        <v>0</v>
      </c>
      <c r="K729" s="50">
        <f t="shared" si="50"/>
        <v>0</v>
      </c>
      <c r="L729" s="52">
        <f t="shared" si="51"/>
        <v>0</v>
      </c>
    </row>
    <row r="730" spans="3:12" s="53" customFormat="1" ht="27" customHeight="1">
      <c r="C730" s="46"/>
      <c r="D730" s="47"/>
      <c r="E730" s="48"/>
      <c r="F730" s="48"/>
      <c r="G730" s="49"/>
      <c r="H730" s="50"/>
      <c r="I730" s="50"/>
      <c r="J730" s="50"/>
      <c r="K730" s="50"/>
      <c r="L730" s="52"/>
    </row>
    <row r="731" spans="3:12" s="53" customFormat="1" ht="27" customHeight="1">
      <c r="C731" s="207" t="s">
        <v>1782</v>
      </c>
      <c r="D731" s="159" t="s">
        <v>2176</v>
      </c>
      <c r="E731" s="48"/>
      <c r="F731" s="48"/>
      <c r="G731" s="49"/>
      <c r="H731" s="50"/>
      <c r="I731" s="50"/>
      <c r="J731" s="50"/>
      <c r="K731" s="50"/>
      <c r="L731" s="52"/>
    </row>
    <row r="732" spans="3:12" s="53" customFormat="1" ht="27" customHeight="1">
      <c r="C732" s="46"/>
      <c r="D732" s="47"/>
      <c r="E732" s="48"/>
      <c r="F732" s="48"/>
      <c r="G732" s="49"/>
      <c r="H732" s="50"/>
      <c r="I732" s="50"/>
      <c r="J732" s="50"/>
      <c r="K732" s="50"/>
      <c r="L732" s="52"/>
    </row>
    <row r="733" spans="3:12" s="53" customFormat="1" ht="27" customHeight="1">
      <c r="C733" s="46" t="s">
        <v>1793</v>
      </c>
      <c r="D733" s="47" t="s">
        <v>2245</v>
      </c>
      <c r="E733" s="48" t="s">
        <v>351</v>
      </c>
      <c r="F733" s="48" t="s">
        <v>378</v>
      </c>
      <c r="G733" s="49">
        <v>24</v>
      </c>
      <c r="H733" s="50">
        <v>0</v>
      </c>
      <c r="I733" s="50">
        <v>0</v>
      </c>
      <c r="J733" s="50">
        <v>0</v>
      </c>
      <c r="K733" s="50">
        <f t="shared" si="50"/>
        <v>0</v>
      </c>
      <c r="L733" s="52">
        <f t="shared" si="51"/>
        <v>0</v>
      </c>
    </row>
    <row r="734" spans="3:12" s="53" customFormat="1" ht="27" customHeight="1">
      <c r="C734" s="46" t="s">
        <v>1795</v>
      </c>
      <c r="D734" s="47" t="s">
        <v>1763</v>
      </c>
      <c r="E734" s="48" t="s">
        <v>351</v>
      </c>
      <c r="F734" s="48" t="s">
        <v>378</v>
      </c>
      <c r="G734" s="49">
        <v>24</v>
      </c>
      <c r="H734" s="50">
        <v>0</v>
      </c>
      <c r="I734" s="50">
        <v>0</v>
      </c>
      <c r="J734" s="50">
        <v>0</v>
      </c>
      <c r="K734" s="50">
        <f t="shared" si="50"/>
        <v>0</v>
      </c>
      <c r="L734" s="52">
        <f t="shared" si="51"/>
        <v>0</v>
      </c>
    </row>
    <row r="735" spans="3:12" s="53" customFormat="1" ht="27" customHeight="1">
      <c r="C735" s="46" t="s">
        <v>1796</v>
      </c>
      <c r="D735" s="47" t="s">
        <v>1024</v>
      </c>
      <c r="E735" s="48" t="s">
        <v>351</v>
      </c>
      <c r="F735" s="48" t="s">
        <v>378</v>
      </c>
      <c r="G735" s="49">
        <v>24</v>
      </c>
      <c r="H735" s="50">
        <v>0</v>
      </c>
      <c r="I735" s="50">
        <v>0</v>
      </c>
      <c r="J735" s="50">
        <v>0</v>
      </c>
      <c r="K735" s="50">
        <f t="shared" si="50"/>
        <v>0</v>
      </c>
      <c r="L735" s="52">
        <f t="shared" si="51"/>
        <v>0</v>
      </c>
    </row>
    <row r="736" spans="3:12" s="53" customFormat="1" ht="27" customHeight="1">
      <c r="C736" s="46" t="s">
        <v>1797</v>
      </c>
      <c r="D736" s="47" t="s">
        <v>1019</v>
      </c>
      <c r="E736" s="48" t="s">
        <v>351</v>
      </c>
      <c r="F736" s="48" t="s">
        <v>378</v>
      </c>
      <c r="G736" s="49">
        <v>72</v>
      </c>
      <c r="H736" s="50">
        <v>0</v>
      </c>
      <c r="I736" s="50">
        <v>0</v>
      </c>
      <c r="J736" s="50">
        <v>0</v>
      </c>
      <c r="K736" s="50">
        <f t="shared" si="50"/>
        <v>0</v>
      </c>
      <c r="L736" s="52">
        <f t="shared" si="51"/>
        <v>0</v>
      </c>
    </row>
    <row r="737" spans="3:12" s="53" customFormat="1" ht="27" customHeight="1">
      <c r="C737" s="46" t="s">
        <v>1798</v>
      </c>
      <c r="D737" s="47" t="s">
        <v>1018</v>
      </c>
      <c r="E737" s="48" t="s">
        <v>1865</v>
      </c>
      <c r="F737" s="48" t="s">
        <v>378</v>
      </c>
      <c r="G737" s="49">
        <v>72</v>
      </c>
      <c r="H737" s="50">
        <v>0</v>
      </c>
      <c r="I737" s="50">
        <v>0</v>
      </c>
      <c r="J737" s="50">
        <v>0</v>
      </c>
      <c r="K737" s="50">
        <f t="shared" si="50"/>
        <v>0</v>
      </c>
      <c r="L737" s="52">
        <f t="shared" si="51"/>
        <v>0</v>
      </c>
    </row>
    <row r="738" spans="3:12" s="53" customFormat="1" ht="27" customHeight="1">
      <c r="C738" s="46" t="s">
        <v>1799</v>
      </c>
      <c r="D738" s="47" t="s">
        <v>1761</v>
      </c>
      <c r="E738" s="136" t="s">
        <v>2124</v>
      </c>
      <c r="F738" s="48" t="s">
        <v>26</v>
      </c>
      <c r="G738" s="49">
        <v>120</v>
      </c>
      <c r="H738" s="50">
        <v>0</v>
      </c>
      <c r="I738" s="50">
        <v>0</v>
      </c>
      <c r="J738" s="50">
        <v>0</v>
      </c>
      <c r="K738" s="50">
        <f>+H738+I738+J738</f>
        <v>0</v>
      </c>
      <c r="L738" s="52">
        <f>+G738*K738</f>
        <v>0</v>
      </c>
    </row>
    <row r="739" spans="3:12" s="53" customFormat="1" ht="27" customHeight="1">
      <c r="C739" s="46" t="s">
        <v>1800</v>
      </c>
      <c r="D739" s="47" t="s">
        <v>1040</v>
      </c>
      <c r="E739" s="136" t="s">
        <v>2124</v>
      </c>
      <c r="F739" s="48" t="s">
        <v>26</v>
      </c>
      <c r="G739" s="49">
        <v>24</v>
      </c>
      <c r="H739" s="50">
        <v>0</v>
      </c>
      <c r="I739" s="50">
        <v>0</v>
      </c>
      <c r="J739" s="50">
        <v>0</v>
      </c>
      <c r="K739" s="50">
        <f>+H739+I739+J739</f>
        <v>0</v>
      </c>
      <c r="L739" s="52">
        <f>+G739*K739</f>
        <v>0</v>
      </c>
    </row>
    <row r="740" spans="3:12" s="53" customFormat="1" ht="27" customHeight="1">
      <c r="C740" s="46" t="s">
        <v>1801</v>
      </c>
      <c r="D740" s="47" t="s">
        <v>2145</v>
      </c>
      <c r="E740" s="48" t="s">
        <v>2172</v>
      </c>
      <c r="F740" s="48" t="s">
        <v>26</v>
      </c>
      <c r="G740" s="49">
        <v>24</v>
      </c>
      <c r="H740" s="50">
        <v>0</v>
      </c>
      <c r="I740" s="50">
        <v>0</v>
      </c>
      <c r="J740" s="50">
        <v>0</v>
      </c>
      <c r="K740" s="50">
        <f t="shared" ref="K740:K755" si="52">+H740+I740+J740</f>
        <v>0</v>
      </c>
      <c r="L740" s="52">
        <f t="shared" ref="L740:L755" si="53">+G740*K740</f>
        <v>0</v>
      </c>
    </row>
    <row r="741" spans="3:12" s="53" customFormat="1" ht="27" customHeight="1">
      <c r="C741" s="46"/>
      <c r="D741" s="47"/>
      <c r="E741" s="48"/>
      <c r="F741" s="48"/>
      <c r="G741" s="49"/>
      <c r="H741" s="50"/>
      <c r="I741" s="50"/>
      <c r="J741" s="50"/>
      <c r="K741" s="50"/>
      <c r="L741" s="52"/>
    </row>
    <row r="742" spans="3:12" s="53" customFormat="1" ht="69.599999999999994" customHeight="1">
      <c r="C742" s="207" t="s">
        <v>1784</v>
      </c>
      <c r="D742" s="161" t="s">
        <v>2179</v>
      </c>
      <c r="E742" s="48"/>
      <c r="F742" s="48"/>
      <c r="G742" s="49"/>
      <c r="H742" s="50"/>
      <c r="I742" s="50"/>
      <c r="J742" s="50"/>
      <c r="K742" s="50"/>
      <c r="L742" s="52"/>
    </row>
    <row r="743" spans="3:12" s="53" customFormat="1" ht="27" customHeight="1">
      <c r="C743" s="46"/>
      <c r="D743" s="147"/>
      <c r="E743" s="48"/>
      <c r="F743" s="48"/>
      <c r="G743" s="49"/>
      <c r="H743" s="50"/>
      <c r="I743" s="50"/>
      <c r="J743" s="50"/>
      <c r="K743" s="50"/>
      <c r="L743" s="52"/>
    </row>
    <row r="744" spans="3:12" s="53" customFormat="1" ht="27" customHeight="1">
      <c r="C744" s="46" t="s">
        <v>1794</v>
      </c>
      <c r="D744" s="47" t="s">
        <v>2245</v>
      </c>
      <c r="E744" s="48" t="s">
        <v>351</v>
      </c>
      <c r="F744" s="48" t="s">
        <v>378</v>
      </c>
      <c r="G744" s="49">
        <v>57</v>
      </c>
      <c r="H744" s="50">
        <v>0</v>
      </c>
      <c r="I744" s="50">
        <v>0</v>
      </c>
      <c r="J744" s="50">
        <v>0</v>
      </c>
      <c r="K744" s="50">
        <f t="shared" si="52"/>
        <v>0</v>
      </c>
      <c r="L744" s="52">
        <f t="shared" si="53"/>
        <v>0</v>
      </c>
    </row>
    <row r="745" spans="3:12" s="53" customFormat="1" ht="27" customHeight="1">
      <c r="C745" s="46" t="s">
        <v>1802</v>
      </c>
      <c r="D745" s="47" t="s">
        <v>1764</v>
      </c>
      <c r="E745" s="48" t="s">
        <v>351</v>
      </c>
      <c r="F745" s="48" t="s">
        <v>378</v>
      </c>
      <c r="G745" s="49">
        <v>57</v>
      </c>
      <c r="H745" s="50">
        <v>0</v>
      </c>
      <c r="I745" s="50">
        <v>0</v>
      </c>
      <c r="J745" s="50">
        <v>0</v>
      </c>
      <c r="K745" s="50">
        <f t="shared" si="52"/>
        <v>0</v>
      </c>
      <c r="L745" s="52">
        <f t="shared" si="53"/>
        <v>0</v>
      </c>
    </row>
    <row r="746" spans="3:12" s="53" customFormat="1" ht="27" customHeight="1">
      <c r="C746" s="46" t="s">
        <v>1803</v>
      </c>
      <c r="D746" s="47" t="s">
        <v>1024</v>
      </c>
      <c r="E746" s="48" t="s">
        <v>351</v>
      </c>
      <c r="F746" s="48" t="s">
        <v>378</v>
      </c>
      <c r="G746" s="49">
        <v>57</v>
      </c>
      <c r="H746" s="50">
        <v>0</v>
      </c>
      <c r="I746" s="50">
        <v>0</v>
      </c>
      <c r="J746" s="50">
        <v>0</v>
      </c>
      <c r="K746" s="50">
        <f t="shared" si="52"/>
        <v>0</v>
      </c>
      <c r="L746" s="52">
        <f t="shared" si="53"/>
        <v>0</v>
      </c>
    </row>
    <row r="747" spans="3:12" s="53" customFormat="1" ht="27" customHeight="1">
      <c r="C747" s="46" t="s">
        <v>1804</v>
      </c>
      <c r="D747" s="47" t="s">
        <v>1019</v>
      </c>
      <c r="E747" s="48" t="s">
        <v>351</v>
      </c>
      <c r="F747" s="48" t="s">
        <v>378</v>
      </c>
      <c r="G747" s="49">
        <v>171</v>
      </c>
      <c r="H747" s="50">
        <v>0</v>
      </c>
      <c r="I747" s="50">
        <v>0</v>
      </c>
      <c r="J747" s="50">
        <v>0</v>
      </c>
      <c r="K747" s="50">
        <f t="shared" si="52"/>
        <v>0</v>
      </c>
      <c r="L747" s="52">
        <f t="shared" si="53"/>
        <v>0</v>
      </c>
    </row>
    <row r="748" spans="3:12" s="53" customFormat="1" ht="27" customHeight="1">
      <c r="C748" s="46" t="s">
        <v>1805</v>
      </c>
      <c r="D748" s="47" t="s">
        <v>1018</v>
      </c>
      <c r="E748" s="48" t="s">
        <v>1865</v>
      </c>
      <c r="F748" s="48" t="s">
        <v>378</v>
      </c>
      <c r="G748" s="49">
        <v>171</v>
      </c>
      <c r="H748" s="50">
        <v>0</v>
      </c>
      <c r="I748" s="50">
        <v>0</v>
      </c>
      <c r="J748" s="50">
        <v>0</v>
      </c>
      <c r="K748" s="50">
        <f t="shared" si="52"/>
        <v>0</v>
      </c>
      <c r="L748" s="52">
        <f t="shared" si="53"/>
        <v>0</v>
      </c>
    </row>
    <row r="749" spans="3:12" s="53" customFormat="1" ht="27" customHeight="1">
      <c r="C749" s="46" t="s">
        <v>1806</v>
      </c>
      <c r="D749" s="47" t="s">
        <v>1761</v>
      </c>
      <c r="E749" s="136" t="s">
        <v>2124</v>
      </c>
      <c r="F749" s="48" t="s">
        <v>26</v>
      </c>
      <c r="G749" s="49">
        <v>285</v>
      </c>
      <c r="H749" s="50">
        <v>0</v>
      </c>
      <c r="I749" s="50">
        <v>0</v>
      </c>
      <c r="J749" s="50">
        <v>0</v>
      </c>
      <c r="K749" s="50">
        <f t="shared" si="52"/>
        <v>0</v>
      </c>
      <c r="L749" s="52">
        <f t="shared" si="53"/>
        <v>0</v>
      </c>
    </row>
    <row r="750" spans="3:12" s="53" customFormat="1" ht="27" customHeight="1">
      <c r="C750" s="46" t="s">
        <v>1807</v>
      </c>
      <c r="D750" s="47" t="s">
        <v>1040</v>
      </c>
      <c r="E750" s="136" t="s">
        <v>2124</v>
      </c>
      <c r="F750" s="48" t="s">
        <v>26</v>
      </c>
      <c r="G750" s="49">
        <v>57</v>
      </c>
      <c r="H750" s="50">
        <v>0</v>
      </c>
      <c r="I750" s="50">
        <v>0</v>
      </c>
      <c r="J750" s="50">
        <v>0</v>
      </c>
      <c r="K750" s="50">
        <f t="shared" si="52"/>
        <v>0</v>
      </c>
      <c r="L750" s="52">
        <f t="shared" si="53"/>
        <v>0</v>
      </c>
    </row>
    <row r="751" spans="3:12" s="53" customFormat="1" ht="27" customHeight="1">
      <c r="C751" s="46" t="s">
        <v>1808</v>
      </c>
      <c r="D751" s="47" t="s">
        <v>2145</v>
      </c>
      <c r="E751" s="48" t="s">
        <v>2172</v>
      </c>
      <c r="F751" s="48" t="s">
        <v>26</v>
      </c>
      <c r="G751" s="49">
        <v>57</v>
      </c>
      <c r="H751" s="50">
        <v>0</v>
      </c>
      <c r="I751" s="50">
        <v>0</v>
      </c>
      <c r="J751" s="50">
        <v>0</v>
      </c>
      <c r="K751" s="50">
        <f t="shared" si="52"/>
        <v>0</v>
      </c>
      <c r="L751" s="52">
        <f t="shared" si="53"/>
        <v>0</v>
      </c>
    </row>
    <row r="752" spans="3:12" s="53" customFormat="1" ht="27" customHeight="1">
      <c r="C752" s="46"/>
      <c r="D752" s="47"/>
      <c r="E752" s="48"/>
      <c r="F752" s="48"/>
      <c r="G752" s="49"/>
      <c r="H752" s="50"/>
      <c r="I752" s="50"/>
      <c r="J752" s="50"/>
      <c r="K752" s="50"/>
      <c r="L752" s="52"/>
    </row>
    <row r="753" spans="3:12" s="53" customFormat="1" ht="27" customHeight="1">
      <c r="C753" s="207" t="s">
        <v>1809</v>
      </c>
      <c r="D753" s="159" t="s">
        <v>2180</v>
      </c>
      <c r="E753" s="48"/>
      <c r="F753" s="48"/>
      <c r="G753" s="49"/>
      <c r="H753" s="50"/>
      <c r="I753" s="50"/>
      <c r="J753" s="50"/>
      <c r="K753" s="50"/>
      <c r="L753" s="52"/>
    </row>
    <row r="754" spans="3:12" s="53" customFormat="1" ht="27" customHeight="1">
      <c r="C754" s="46"/>
      <c r="D754" s="47"/>
      <c r="E754" s="48"/>
      <c r="F754" s="48"/>
      <c r="G754" s="49"/>
      <c r="H754" s="50"/>
      <c r="I754" s="50"/>
      <c r="J754" s="50"/>
      <c r="K754" s="50"/>
      <c r="L754" s="52"/>
    </row>
    <row r="755" spans="3:12" s="53" customFormat="1" ht="27" customHeight="1">
      <c r="C755" s="46" t="s">
        <v>1810</v>
      </c>
      <c r="D755" s="47" t="s">
        <v>2244</v>
      </c>
      <c r="E755" s="48" t="s">
        <v>351</v>
      </c>
      <c r="F755" s="48" t="s">
        <v>378</v>
      </c>
      <c r="G755" s="49">
        <v>20</v>
      </c>
      <c r="H755" s="50">
        <v>0</v>
      </c>
      <c r="I755" s="50">
        <v>0</v>
      </c>
      <c r="J755" s="50">
        <v>0</v>
      </c>
      <c r="K755" s="50">
        <f t="shared" si="52"/>
        <v>0</v>
      </c>
      <c r="L755" s="52">
        <f t="shared" si="53"/>
        <v>0</v>
      </c>
    </row>
    <row r="756" spans="3:12" s="53" customFormat="1" ht="27" customHeight="1">
      <c r="C756" s="46" t="s">
        <v>1811</v>
      </c>
      <c r="D756" s="47" t="s">
        <v>1765</v>
      </c>
      <c r="E756" s="48" t="s">
        <v>351</v>
      </c>
      <c r="F756" s="48" t="s">
        <v>378</v>
      </c>
      <c r="G756" s="49">
        <v>20</v>
      </c>
      <c r="H756" s="50">
        <v>0</v>
      </c>
      <c r="I756" s="50">
        <v>0</v>
      </c>
      <c r="J756" s="50">
        <v>0</v>
      </c>
      <c r="K756" s="50">
        <f t="shared" ref="K756:K769" si="54">+H756+I756+J756</f>
        <v>0</v>
      </c>
      <c r="L756" s="52">
        <f t="shared" ref="L756:L769" si="55">+G756*K756</f>
        <v>0</v>
      </c>
    </row>
    <row r="757" spans="3:12" s="53" customFormat="1" ht="27" customHeight="1">
      <c r="C757" s="46" t="s">
        <v>1812</v>
      </c>
      <c r="D757" s="47" t="s">
        <v>1024</v>
      </c>
      <c r="E757" s="48" t="s">
        <v>351</v>
      </c>
      <c r="F757" s="48" t="s">
        <v>378</v>
      </c>
      <c r="G757" s="49">
        <v>20</v>
      </c>
      <c r="H757" s="50">
        <v>0</v>
      </c>
      <c r="I757" s="50">
        <v>0</v>
      </c>
      <c r="J757" s="50">
        <v>0</v>
      </c>
      <c r="K757" s="50">
        <f t="shared" si="54"/>
        <v>0</v>
      </c>
      <c r="L757" s="52">
        <f t="shared" si="55"/>
        <v>0</v>
      </c>
    </row>
    <row r="758" spans="3:12" s="53" customFormat="1" ht="27" customHeight="1">
      <c r="C758" s="46" t="s">
        <v>1813</v>
      </c>
      <c r="D758" s="47" t="s">
        <v>1019</v>
      </c>
      <c r="E758" s="48" t="s">
        <v>351</v>
      </c>
      <c r="F758" s="48" t="s">
        <v>378</v>
      </c>
      <c r="G758" s="49">
        <v>60</v>
      </c>
      <c r="H758" s="50">
        <v>0</v>
      </c>
      <c r="I758" s="50">
        <v>0</v>
      </c>
      <c r="J758" s="50">
        <v>0</v>
      </c>
      <c r="K758" s="50">
        <f t="shared" si="54"/>
        <v>0</v>
      </c>
      <c r="L758" s="52">
        <f t="shared" si="55"/>
        <v>0</v>
      </c>
    </row>
    <row r="759" spans="3:12" s="53" customFormat="1" ht="27" customHeight="1">
      <c r="C759" s="46" t="s">
        <v>1814</v>
      </c>
      <c r="D759" s="47" t="s">
        <v>1018</v>
      </c>
      <c r="E759" s="48" t="s">
        <v>1865</v>
      </c>
      <c r="F759" s="48" t="s">
        <v>378</v>
      </c>
      <c r="G759" s="49">
        <v>60</v>
      </c>
      <c r="H759" s="50">
        <v>0</v>
      </c>
      <c r="I759" s="50">
        <v>0</v>
      </c>
      <c r="J759" s="50">
        <v>0</v>
      </c>
      <c r="K759" s="50">
        <f t="shared" si="54"/>
        <v>0</v>
      </c>
      <c r="L759" s="52">
        <f t="shared" si="55"/>
        <v>0</v>
      </c>
    </row>
    <row r="760" spans="3:12" s="53" customFormat="1" ht="27" customHeight="1">
      <c r="C760" s="46" t="s">
        <v>1815</v>
      </c>
      <c r="D760" s="47" t="s">
        <v>1761</v>
      </c>
      <c r="E760" s="136" t="s">
        <v>2124</v>
      </c>
      <c r="F760" s="48" t="s">
        <v>26</v>
      </c>
      <c r="G760" s="49">
        <v>100</v>
      </c>
      <c r="H760" s="50">
        <v>0</v>
      </c>
      <c r="I760" s="50">
        <v>0</v>
      </c>
      <c r="J760" s="50">
        <v>0</v>
      </c>
      <c r="K760" s="50">
        <f t="shared" si="54"/>
        <v>0</v>
      </c>
      <c r="L760" s="52">
        <f t="shared" si="55"/>
        <v>0</v>
      </c>
    </row>
    <row r="761" spans="3:12" s="53" customFormat="1" ht="27" customHeight="1">
      <c r="C761" s="46" t="s">
        <v>1816</v>
      </c>
      <c r="D761" s="47" t="s">
        <v>1040</v>
      </c>
      <c r="E761" s="136" t="s">
        <v>2124</v>
      </c>
      <c r="F761" s="48" t="s">
        <v>26</v>
      </c>
      <c r="G761" s="49">
        <v>20</v>
      </c>
      <c r="H761" s="50">
        <v>0</v>
      </c>
      <c r="I761" s="50">
        <v>0</v>
      </c>
      <c r="J761" s="50">
        <v>0</v>
      </c>
      <c r="K761" s="50">
        <f t="shared" si="54"/>
        <v>0</v>
      </c>
      <c r="L761" s="52">
        <f t="shared" si="55"/>
        <v>0</v>
      </c>
    </row>
    <row r="762" spans="3:12" s="53" customFormat="1" ht="27" customHeight="1">
      <c r="C762" s="46" t="s">
        <v>1817</v>
      </c>
      <c r="D762" s="47" t="s">
        <v>2145</v>
      </c>
      <c r="E762" s="48" t="s">
        <v>2172</v>
      </c>
      <c r="F762" s="48" t="s">
        <v>26</v>
      </c>
      <c r="G762" s="49">
        <v>20</v>
      </c>
      <c r="H762" s="50">
        <v>0</v>
      </c>
      <c r="I762" s="50">
        <v>0</v>
      </c>
      <c r="J762" s="50">
        <v>0</v>
      </c>
      <c r="K762" s="50">
        <f t="shared" si="54"/>
        <v>0</v>
      </c>
      <c r="L762" s="52">
        <f t="shared" si="55"/>
        <v>0</v>
      </c>
    </row>
    <row r="763" spans="3:12" s="53" customFormat="1" ht="27" customHeight="1">
      <c r="C763" s="46"/>
      <c r="D763" s="47"/>
      <c r="E763" s="48"/>
      <c r="F763" s="48"/>
      <c r="G763" s="49"/>
      <c r="H763" s="50"/>
      <c r="I763" s="50"/>
      <c r="J763" s="50"/>
      <c r="K763" s="50"/>
      <c r="L763" s="52"/>
    </row>
    <row r="764" spans="3:12" s="53" customFormat="1" ht="27" customHeight="1">
      <c r="C764" s="207" t="s">
        <v>1783</v>
      </c>
      <c r="D764" s="159" t="s">
        <v>2181</v>
      </c>
      <c r="E764" s="48"/>
      <c r="F764" s="48"/>
      <c r="G764" s="49"/>
      <c r="H764" s="50"/>
      <c r="I764" s="50"/>
      <c r="J764" s="50"/>
      <c r="K764" s="50"/>
      <c r="L764" s="52"/>
    </row>
    <row r="765" spans="3:12" s="53" customFormat="1" ht="27" customHeight="1">
      <c r="C765" s="46"/>
      <c r="D765" s="47"/>
      <c r="E765" s="48"/>
      <c r="F765" s="48"/>
      <c r="G765" s="49"/>
      <c r="H765" s="50"/>
      <c r="I765" s="50"/>
      <c r="J765" s="50"/>
      <c r="K765" s="50"/>
      <c r="L765" s="52"/>
    </row>
    <row r="766" spans="3:12" s="53" customFormat="1" ht="27" customHeight="1">
      <c r="C766" s="46" t="s">
        <v>1818</v>
      </c>
      <c r="D766" s="47" t="s">
        <v>1766</v>
      </c>
      <c r="E766" s="48" t="s">
        <v>351</v>
      </c>
      <c r="F766" s="48" t="s">
        <v>378</v>
      </c>
      <c r="G766" s="49">
        <v>8</v>
      </c>
      <c r="H766" s="50">
        <v>0</v>
      </c>
      <c r="I766" s="50">
        <v>0</v>
      </c>
      <c r="J766" s="50">
        <v>0</v>
      </c>
      <c r="K766" s="50">
        <f t="shared" si="54"/>
        <v>0</v>
      </c>
      <c r="L766" s="52">
        <f t="shared" si="55"/>
        <v>0</v>
      </c>
    </row>
    <row r="767" spans="3:12" s="53" customFormat="1" ht="27" customHeight="1">
      <c r="C767" s="46" t="s">
        <v>1821</v>
      </c>
      <c r="D767" s="47" t="s">
        <v>1024</v>
      </c>
      <c r="E767" s="48" t="s">
        <v>351</v>
      </c>
      <c r="F767" s="48" t="s">
        <v>378</v>
      </c>
      <c r="G767" s="49">
        <v>8</v>
      </c>
      <c r="H767" s="50">
        <v>0</v>
      </c>
      <c r="I767" s="50">
        <v>0</v>
      </c>
      <c r="J767" s="50">
        <v>0</v>
      </c>
      <c r="K767" s="50">
        <f t="shared" si="54"/>
        <v>0</v>
      </c>
      <c r="L767" s="52">
        <f t="shared" si="55"/>
        <v>0</v>
      </c>
    </row>
    <row r="768" spans="3:12" s="53" customFormat="1" ht="27" customHeight="1">
      <c r="C768" s="46" t="s">
        <v>1822</v>
      </c>
      <c r="D768" s="47" t="s">
        <v>1019</v>
      </c>
      <c r="E768" s="48" t="s">
        <v>351</v>
      </c>
      <c r="F768" s="48" t="s">
        <v>378</v>
      </c>
      <c r="G768" s="49">
        <v>24</v>
      </c>
      <c r="H768" s="50">
        <v>0</v>
      </c>
      <c r="I768" s="50">
        <v>0</v>
      </c>
      <c r="J768" s="50">
        <v>0</v>
      </c>
      <c r="K768" s="50">
        <f t="shared" si="54"/>
        <v>0</v>
      </c>
      <c r="L768" s="52">
        <f t="shared" si="55"/>
        <v>0</v>
      </c>
    </row>
    <row r="769" spans="3:12" s="53" customFormat="1" ht="27" customHeight="1">
      <c r="C769" s="46" t="s">
        <v>1823</v>
      </c>
      <c r="D769" s="47" t="s">
        <v>1018</v>
      </c>
      <c r="E769" s="48" t="s">
        <v>1865</v>
      </c>
      <c r="F769" s="48" t="s">
        <v>378</v>
      </c>
      <c r="G769" s="49">
        <v>24</v>
      </c>
      <c r="H769" s="50">
        <v>0</v>
      </c>
      <c r="I769" s="50">
        <v>0</v>
      </c>
      <c r="J769" s="50">
        <v>0</v>
      </c>
      <c r="K769" s="50">
        <f t="shared" si="54"/>
        <v>0</v>
      </c>
      <c r="L769" s="52">
        <f t="shared" si="55"/>
        <v>0</v>
      </c>
    </row>
    <row r="770" spans="3:12" s="53" customFormat="1" ht="27" customHeight="1">
      <c r="C770" s="46" t="s">
        <v>1820</v>
      </c>
      <c r="D770" s="47" t="s">
        <v>1761</v>
      </c>
      <c r="E770" s="136" t="s">
        <v>2124</v>
      </c>
      <c r="F770" s="48" t="s">
        <v>26</v>
      </c>
      <c r="G770" s="49">
        <v>40</v>
      </c>
      <c r="H770" s="50">
        <v>0</v>
      </c>
      <c r="I770" s="50">
        <v>0</v>
      </c>
      <c r="J770" s="50">
        <v>0</v>
      </c>
      <c r="K770" s="50">
        <f t="shared" ref="K770:K782" si="56">+H770+I770+J770</f>
        <v>0</v>
      </c>
      <c r="L770" s="52">
        <f t="shared" ref="L770:L782" si="57">+G770*K770</f>
        <v>0</v>
      </c>
    </row>
    <row r="771" spans="3:12" s="53" customFormat="1" ht="27" customHeight="1">
      <c r="C771" s="46" t="s">
        <v>1819</v>
      </c>
      <c r="D771" s="47" t="s">
        <v>1040</v>
      </c>
      <c r="E771" s="136" t="s">
        <v>2124</v>
      </c>
      <c r="F771" s="48" t="s">
        <v>26</v>
      </c>
      <c r="G771" s="49">
        <v>8</v>
      </c>
      <c r="H771" s="50">
        <v>0</v>
      </c>
      <c r="I771" s="50">
        <v>0</v>
      </c>
      <c r="J771" s="50">
        <v>0</v>
      </c>
      <c r="K771" s="50">
        <f t="shared" si="56"/>
        <v>0</v>
      </c>
      <c r="L771" s="52">
        <f t="shared" si="57"/>
        <v>0</v>
      </c>
    </row>
    <row r="772" spans="3:12" s="53" customFormat="1" ht="27" customHeight="1">
      <c r="C772" s="46" t="s">
        <v>1824</v>
      </c>
      <c r="D772" s="47" t="s">
        <v>2146</v>
      </c>
      <c r="E772" s="48" t="s">
        <v>2172</v>
      </c>
      <c r="F772" s="48" t="s">
        <v>26</v>
      </c>
      <c r="G772" s="49">
        <v>8</v>
      </c>
      <c r="H772" s="50">
        <v>0</v>
      </c>
      <c r="I772" s="50">
        <v>0</v>
      </c>
      <c r="J772" s="50">
        <v>0</v>
      </c>
      <c r="K772" s="50">
        <f t="shared" si="56"/>
        <v>0</v>
      </c>
      <c r="L772" s="52">
        <f t="shared" si="57"/>
        <v>0</v>
      </c>
    </row>
    <row r="773" spans="3:12" s="53" customFormat="1" ht="27" customHeight="1">
      <c r="C773" s="46"/>
      <c r="D773" s="47"/>
      <c r="E773" s="48"/>
      <c r="F773" s="48"/>
      <c r="G773" s="49"/>
      <c r="H773" s="50"/>
      <c r="I773" s="50"/>
      <c r="J773" s="50"/>
      <c r="K773" s="50"/>
      <c r="L773" s="52"/>
    </row>
    <row r="774" spans="3:12" s="53" customFormat="1" ht="27" customHeight="1">
      <c r="C774" s="207" t="s">
        <v>1825</v>
      </c>
      <c r="D774" s="159" t="s">
        <v>2182</v>
      </c>
      <c r="E774" s="48"/>
      <c r="F774" s="48"/>
      <c r="G774" s="49"/>
      <c r="H774" s="50"/>
      <c r="I774" s="50"/>
      <c r="J774" s="50"/>
      <c r="K774" s="50"/>
      <c r="L774" s="52"/>
    </row>
    <row r="775" spans="3:12" s="53" customFormat="1" ht="27" customHeight="1">
      <c r="C775" s="46"/>
      <c r="D775" s="47"/>
      <c r="E775" s="48"/>
      <c r="F775" s="48"/>
      <c r="G775" s="49"/>
      <c r="H775" s="50"/>
      <c r="I775" s="50"/>
      <c r="J775" s="50"/>
      <c r="K775" s="50"/>
      <c r="L775" s="52"/>
    </row>
    <row r="776" spans="3:12" s="53" customFormat="1" ht="27" customHeight="1">
      <c r="C776" s="46" t="s">
        <v>1826</v>
      </c>
      <c r="D776" s="47" t="s">
        <v>1767</v>
      </c>
      <c r="E776" s="48" t="s">
        <v>351</v>
      </c>
      <c r="F776" s="48" t="s">
        <v>378</v>
      </c>
      <c r="G776" s="49">
        <v>2</v>
      </c>
      <c r="H776" s="50">
        <v>0</v>
      </c>
      <c r="I776" s="50">
        <v>0</v>
      </c>
      <c r="J776" s="50">
        <v>0</v>
      </c>
      <c r="K776" s="50">
        <f t="shared" si="56"/>
        <v>0</v>
      </c>
      <c r="L776" s="52">
        <f t="shared" si="57"/>
        <v>0</v>
      </c>
    </row>
    <row r="777" spans="3:12" s="53" customFormat="1" ht="27" customHeight="1">
      <c r="C777" s="46" t="s">
        <v>1829</v>
      </c>
      <c r="D777" s="47" t="s">
        <v>1024</v>
      </c>
      <c r="E777" s="48" t="s">
        <v>351</v>
      </c>
      <c r="F777" s="48" t="s">
        <v>378</v>
      </c>
      <c r="G777" s="49">
        <v>2</v>
      </c>
      <c r="H777" s="50">
        <v>0</v>
      </c>
      <c r="I777" s="50">
        <v>0</v>
      </c>
      <c r="J777" s="50">
        <v>0</v>
      </c>
      <c r="K777" s="50">
        <f t="shared" si="56"/>
        <v>0</v>
      </c>
      <c r="L777" s="52">
        <f t="shared" si="57"/>
        <v>0</v>
      </c>
    </row>
    <row r="778" spans="3:12" s="53" customFormat="1" ht="27" customHeight="1">
      <c r="C778" s="46" t="s">
        <v>1830</v>
      </c>
      <c r="D778" s="47" t="s">
        <v>1019</v>
      </c>
      <c r="E778" s="48" t="s">
        <v>351</v>
      </c>
      <c r="F778" s="48" t="s">
        <v>378</v>
      </c>
      <c r="G778" s="49">
        <v>6</v>
      </c>
      <c r="H778" s="50">
        <v>0</v>
      </c>
      <c r="I778" s="50">
        <v>0</v>
      </c>
      <c r="J778" s="50">
        <v>0</v>
      </c>
      <c r="K778" s="50">
        <f t="shared" si="56"/>
        <v>0</v>
      </c>
      <c r="L778" s="52">
        <f t="shared" si="57"/>
        <v>0</v>
      </c>
    </row>
    <row r="779" spans="3:12" s="53" customFormat="1" ht="27" customHeight="1">
      <c r="C779" s="46" t="s">
        <v>1831</v>
      </c>
      <c r="D779" s="47" t="s">
        <v>1018</v>
      </c>
      <c r="E779" s="48" t="s">
        <v>1865</v>
      </c>
      <c r="F779" s="48" t="s">
        <v>378</v>
      </c>
      <c r="G779" s="49">
        <v>6</v>
      </c>
      <c r="H779" s="50">
        <v>0</v>
      </c>
      <c r="I779" s="50">
        <v>0</v>
      </c>
      <c r="J779" s="50">
        <v>0</v>
      </c>
      <c r="K779" s="50">
        <f t="shared" si="56"/>
        <v>0</v>
      </c>
      <c r="L779" s="52">
        <f t="shared" si="57"/>
        <v>0</v>
      </c>
    </row>
    <row r="780" spans="3:12" s="53" customFormat="1" ht="27" customHeight="1">
      <c r="C780" s="46" t="s">
        <v>1828</v>
      </c>
      <c r="D780" s="47" t="s">
        <v>1761</v>
      </c>
      <c r="E780" s="136" t="s">
        <v>2124</v>
      </c>
      <c r="F780" s="48" t="s">
        <v>26</v>
      </c>
      <c r="G780" s="49">
        <v>10</v>
      </c>
      <c r="H780" s="50">
        <v>0</v>
      </c>
      <c r="I780" s="50">
        <v>0</v>
      </c>
      <c r="J780" s="50">
        <v>0</v>
      </c>
      <c r="K780" s="50">
        <f t="shared" si="56"/>
        <v>0</v>
      </c>
      <c r="L780" s="52">
        <f t="shared" si="57"/>
        <v>0</v>
      </c>
    </row>
    <row r="781" spans="3:12" s="53" customFormat="1" ht="27" customHeight="1">
      <c r="C781" s="46" t="s">
        <v>1827</v>
      </c>
      <c r="D781" s="47" t="s">
        <v>1040</v>
      </c>
      <c r="E781" s="136" t="s">
        <v>2124</v>
      </c>
      <c r="F781" s="48" t="s">
        <v>26</v>
      </c>
      <c r="G781" s="49">
        <v>2</v>
      </c>
      <c r="H781" s="50">
        <v>0</v>
      </c>
      <c r="I781" s="50">
        <v>0</v>
      </c>
      <c r="J781" s="50">
        <v>0</v>
      </c>
      <c r="K781" s="50">
        <f t="shared" si="56"/>
        <v>0</v>
      </c>
      <c r="L781" s="52">
        <f t="shared" si="57"/>
        <v>0</v>
      </c>
    </row>
    <row r="782" spans="3:12" s="53" customFormat="1" ht="27" customHeight="1">
      <c r="C782" s="46" t="s">
        <v>1832</v>
      </c>
      <c r="D782" s="47" t="s">
        <v>2146</v>
      </c>
      <c r="E782" s="48" t="s">
        <v>2172</v>
      </c>
      <c r="F782" s="48" t="s">
        <v>26</v>
      </c>
      <c r="G782" s="49">
        <v>2</v>
      </c>
      <c r="H782" s="50">
        <v>0</v>
      </c>
      <c r="I782" s="50">
        <v>0</v>
      </c>
      <c r="J782" s="50">
        <v>0</v>
      </c>
      <c r="K782" s="50">
        <f t="shared" si="56"/>
        <v>0</v>
      </c>
      <c r="L782" s="52">
        <f t="shared" si="57"/>
        <v>0</v>
      </c>
    </row>
    <row r="783" spans="3:12" s="53" customFormat="1" ht="27" customHeight="1">
      <c r="C783" s="46"/>
      <c r="D783" s="47"/>
      <c r="E783" s="48"/>
      <c r="F783" s="48"/>
      <c r="G783" s="49"/>
      <c r="H783" s="50"/>
      <c r="I783" s="50"/>
      <c r="J783" s="50"/>
      <c r="K783" s="50"/>
      <c r="L783" s="52"/>
    </row>
    <row r="784" spans="3:12" s="53" customFormat="1" ht="27" customHeight="1">
      <c r="C784" s="207" t="s">
        <v>1833</v>
      </c>
      <c r="D784" s="159" t="s">
        <v>2183</v>
      </c>
      <c r="E784" s="48"/>
      <c r="F784" s="48"/>
      <c r="G784" s="49"/>
      <c r="H784" s="50"/>
      <c r="I784" s="50"/>
      <c r="J784" s="50"/>
      <c r="K784" s="50"/>
      <c r="L784" s="52"/>
    </row>
    <row r="785" spans="3:12" s="53" customFormat="1" ht="27" customHeight="1">
      <c r="C785" s="46"/>
      <c r="D785" s="47"/>
      <c r="E785" s="48"/>
      <c r="F785" s="48"/>
      <c r="G785" s="49"/>
      <c r="H785" s="50"/>
      <c r="I785" s="50"/>
      <c r="J785" s="50"/>
      <c r="K785" s="50"/>
      <c r="L785" s="52"/>
    </row>
    <row r="786" spans="3:12" s="53" customFormat="1" ht="27" customHeight="1">
      <c r="C786" s="46" t="s">
        <v>1834</v>
      </c>
      <c r="D786" s="47" t="s">
        <v>1768</v>
      </c>
      <c r="E786" s="48" t="s">
        <v>351</v>
      </c>
      <c r="F786" s="48" t="s">
        <v>378</v>
      </c>
      <c r="G786" s="49">
        <v>1</v>
      </c>
      <c r="H786" s="50">
        <v>0</v>
      </c>
      <c r="I786" s="50">
        <v>0</v>
      </c>
      <c r="J786" s="50">
        <v>0</v>
      </c>
      <c r="K786" s="50">
        <f t="shared" ref="K786:K792" si="58">+H786+I786+J786</f>
        <v>0</v>
      </c>
      <c r="L786" s="52">
        <f t="shared" ref="L786:L792" si="59">+G786*K786</f>
        <v>0</v>
      </c>
    </row>
    <row r="787" spans="3:12" s="53" customFormat="1" ht="27" customHeight="1">
      <c r="C787" s="46" t="s">
        <v>1836</v>
      </c>
      <c r="D787" s="47" t="s">
        <v>1024</v>
      </c>
      <c r="E787" s="48" t="s">
        <v>351</v>
      </c>
      <c r="F787" s="48" t="s">
        <v>378</v>
      </c>
      <c r="G787" s="49">
        <v>1</v>
      </c>
      <c r="H787" s="50">
        <v>0</v>
      </c>
      <c r="I787" s="50">
        <v>0</v>
      </c>
      <c r="J787" s="50">
        <v>0</v>
      </c>
      <c r="K787" s="50">
        <f t="shared" si="58"/>
        <v>0</v>
      </c>
      <c r="L787" s="52">
        <f t="shared" si="59"/>
        <v>0</v>
      </c>
    </row>
    <row r="788" spans="3:12" s="53" customFormat="1" ht="27" customHeight="1">
      <c r="C788" s="46" t="s">
        <v>1837</v>
      </c>
      <c r="D788" s="47" t="s">
        <v>1019</v>
      </c>
      <c r="E788" s="48" t="s">
        <v>351</v>
      </c>
      <c r="F788" s="48" t="s">
        <v>378</v>
      </c>
      <c r="G788" s="49">
        <v>3</v>
      </c>
      <c r="H788" s="50">
        <v>0</v>
      </c>
      <c r="I788" s="50">
        <v>0</v>
      </c>
      <c r="J788" s="50">
        <v>0</v>
      </c>
      <c r="K788" s="50">
        <f t="shared" si="58"/>
        <v>0</v>
      </c>
      <c r="L788" s="52">
        <f t="shared" si="59"/>
        <v>0</v>
      </c>
    </row>
    <row r="789" spans="3:12" s="53" customFormat="1" ht="27" customHeight="1">
      <c r="C789" s="46" t="s">
        <v>1838</v>
      </c>
      <c r="D789" s="47" t="s">
        <v>1018</v>
      </c>
      <c r="E789" s="48" t="s">
        <v>1865</v>
      </c>
      <c r="F789" s="48" t="s">
        <v>378</v>
      </c>
      <c r="G789" s="49">
        <v>3</v>
      </c>
      <c r="H789" s="50">
        <v>0</v>
      </c>
      <c r="I789" s="50">
        <v>0</v>
      </c>
      <c r="J789" s="50">
        <v>0</v>
      </c>
      <c r="K789" s="50">
        <f t="shared" si="58"/>
        <v>0</v>
      </c>
      <c r="L789" s="52">
        <f t="shared" si="59"/>
        <v>0</v>
      </c>
    </row>
    <row r="790" spans="3:12" s="53" customFormat="1" ht="27" customHeight="1">
      <c r="C790" s="46" t="s">
        <v>1839</v>
      </c>
      <c r="D790" s="47" t="s">
        <v>1761</v>
      </c>
      <c r="E790" s="136" t="s">
        <v>2124</v>
      </c>
      <c r="F790" s="48" t="s">
        <v>26</v>
      </c>
      <c r="G790" s="49">
        <v>5</v>
      </c>
      <c r="H790" s="50">
        <v>0</v>
      </c>
      <c r="I790" s="50">
        <v>0</v>
      </c>
      <c r="J790" s="50">
        <v>0</v>
      </c>
      <c r="K790" s="50">
        <f t="shared" si="58"/>
        <v>0</v>
      </c>
      <c r="L790" s="52">
        <f t="shared" si="59"/>
        <v>0</v>
      </c>
    </row>
    <row r="791" spans="3:12" s="53" customFormat="1" ht="27" customHeight="1">
      <c r="C791" s="46" t="s">
        <v>1835</v>
      </c>
      <c r="D791" s="47" t="s">
        <v>1040</v>
      </c>
      <c r="E791" s="136" t="s">
        <v>2124</v>
      </c>
      <c r="F791" s="48" t="s">
        <v>26</v>
      </c>
      <c r="G791" s="49">
        <v>1</v>
      </c>
      <c r="H791" s="50">
        <v>0</v>
      </c>
      <c r="I791" s="50">
        <v>0</v>
      </c>
      <c r="J791" s="50">
        <v>0</v>
      </c>
      <c r="K791" s="50">
        <f t="shared" si="58"/>
        <v>0</v>
      </c>
      <c r="L791" s="52">
        <f t="shared" si="59"/>
        <v>0</v>
      </c>
    </row>
    <row r="792" spans="3:12" s="53" customFormat="1" ht="27" customHeight="1">
      <c r="C792" s="46" t="s">
        <v>1840</v>
      </c>
      <c r="D792" s="47" t="s">
        <v>2146</v>
      </c>
      <c r="E792" s="48" t="s">
        <v>2172</v>
      </c>
      <c r="F792" s="48" t="s">
        <v>26</v>
      </c>
      <c r="G792" s="49">
        <v>1</v>
      </c>
      <c r="H792" s="50">
        <v>0</v>
      </c>
      <c r="I792" s="50">
        <v>0</v>
      </c>
      <c r="J792" s="50">
        <v>0</v>
      </c>
      <c r="K792" s="50">
        <f t="shared" si="58"/>
        <v>0</v>
      </c>
      <c r="L792" s="52">
        <f t="shared" si="59"/>
        <v>0</v>
      </c>
    </row>
    <row r="793" spans="3:12" s="53" customFormat="1" ht="27" customHeight="1">
      <c r="C793" s="46"/>
      <c r="D793" s="47"/>
      <c r="E793" s="48"/>
      <c r="F793" s="48"/>
      <c r="G793" s="49"/>
      <c r="H793" s="50"/>
      <c r="I793" s="50"/>
      <c r="J793" s="50"/>
      <c r="K793" s="50"/>
      <c r="L793" s="52"/>
    </row>
    <row r="794" spans="3:12" s="53" customFormat="1" ht="27" customHeight="1">
      <c r="C794" s="207" t="s">
        <v>1841</v>
      </c>
      <c r="D794" s="159" t="s">
        <v>2184</v>
      </c>
      <c r="E794" s="48"/>
      <c r="F794" s="48"/>
      <c r="G794" s="49"/>
      <c r="H794" s="50"/>
      <c r="I794" s="50"/>
      <c r="J794" s="50"/>
      <c r="K794" s="50"/>
      <c r="L794" s="52"/>
    </row>
    <row r="795" spans="3:12" s="53" customFormat="1" ht="27" customHeight="1">
      <c r="C795" s="207"/>
      <c r="D795" s="159"/>
      <c r="E795" s="48"/>
      <c r="F795" s="48"/>
      <c r="G795" s="49"/>
      <c r="H795" s="50"/>
      <c r="I795" s="50"/>
      <c r="J795" s="50"/>
      <c r="K795" s="50"/>
      <c r="L795" s="52"/>
    </row>
    <row r="796" spans="3:12" s="53" customFormat="1" ht="27" customHeight="1">
      <c r="C796" s="46" t="s">
        <v>1842</v>
      </c>
      <c r="D796" s="47" t="s">
        <v>2246</v>
      </c>
      <c r="E796" s="48" t="s">
        <v>351</v>
      </c>
      <c r="F796" s="48" t="s">
        <v>378</v>
      </c>
      <c r="G796" s="49">
        <v>2</v>
      </c>
      <c r="H796" s="50">
        <v>0</v>
      </c>
      <c r="I796" s="50">
        <v>0</v>
      </c>
      <c r="J796" s="50">
        <v>0</v>
      </c>
      <c r="K796" s="50">
        <f t="shared" ref="K796:K801" si="60">+H796+I796+J796</f>
        <v>0</v>
      </c>
      <c r="L796" s="52">
        <f t="shared" ref="L796:L801" si="61">+G796*K796</f>
        <v>0</v>
      </c>
    </row>
    <row r="797" spans="3:12" s="53" customFormat="1" ht="27" customHeight="1">
      <c r="C797" s="46" t="s">
        <v>1846</v>
      </c>
      <c r="D797" s="47" t="s">
        <v>1769</v>
      </c>
      <c r="E797" s="48" t="s">
        <v>351</v>
      </c>
      <c r="F797" s="48" t="s">
        <v>378</v>
      </c>
      <c r="G797" s="49">
        <v>2</v>
      </c>
      <c r="H797" s="50">
        <v>0</v>
      </c>
      <c r="I797" s="50">
        <v>0</v>
      </c>
      <c r="J797" s="50">
        <v>0</v>
      </c>
      <c r="K797" s="50">
        <f t="shared" si="60"/>
        <v>0</v>
      </c>
      <c r="L797" s="52">
        <f t="shared" si="61"/>
        <v>0</v>
      </c>
    </row>
    <row r="798" spans="3:12" s="53" customFormat="1" ht="27" customHeight="1">
      <c r="C798" s="46" t="s">
        <v>1847</v>
      </c>
      <c r="D798" s="47" t="s">
        <v>1024</v>
      </c>
      <c r="E798" s="48" t="s">
        <v>351</v>
      </c>
      <c r="F798" s="48" t="s">
        <v>378</v>
      </c>
      <c r="G798" s="49">
        <v>2</v>
      </c>
      <c r="H798" s="50">
        <v>0</v>
      </c>
      <c r="I798" s="50">
        <v>0</v>
      </c>
      <c r="J798" s="50">
        <v>0</v>
      </c>
      <c r="K798" s="50">
        <f t="shared" si="60"/>
        <v>0</v>
      </c>
      <c r="L798" s="52">
        <f t="shared" si="61"/>
        <v>0</v>
      </c>
    </row>
    <row r="799" spans="3:12" s="53" customFormat="1" ht="27" customHeight="1">
      <c r="C799" s="46" t="s">
        <v>1845</v>
      </c>
      <c r="D799" s="47" t="s">
        <v>1019</v>
      </c>
      <c r="E799" s="48" t="s">
        <v>351</v>
      </c>
      <c r="F799" s="48" t="s">
        <v>378</v>
      </c>
      <c r="G799" s="49">
        <v>6</v>
      </c>
      <c r="H799" s="50">
        <v>0</v>
      </c>
      <c r="I799" s="50">
        <v>0</v>
      </c>
      <c r="J799" s="50">
        <v>0</v>
      </c>
      <c r="K799" s="50">
        <f t="shared" si="60"/>
        <v>0</v>
      </c>
      <c r="L799" s="52">
        <f t="shared" si="61"/>
        <v>0</v>
      </c>
    </row>
    <row r="800" spans="3:12" s="53" customFormat="1" ht="27" customHeight="1">
      <c r="C800" s="46" t="s">
        <v>1844</v>
      </c>
      <c r="D800" s="47" t="s">
        <v>1018</v>
      </c>
      <c r="E800" s="48" t="s">
        <v>1865</v>
      </c>
      <c r="F800" s="48" t="s">
        <v>378</v>
      </c>
      <c r="G800" s="49">
        <v>6</v>
      </c>
      <c r="H800" s="50">
        <v>0</v>
      </c>
      <c r="I800" s="50">
        <v>0</v>
      </c>
      <c r="J800" s="50">
        <v>0</v>
      </c>
      <c r="K800" s="50">
        <f t="shared" si="60"/>
        <v>0</v>
      </c>
      <c r="L800" s="52">
        <f t="shared" si="61"/>
        <v>0</v>
      </c>
    </row>
    <row r="801" spans="3:12" s="53" customFormat="1" ht="27" customHeight="1">
      <c r="C801" s="46" t="s">
        <v>1843</v>
      </c>
      <c r="D801" s="47" t="s">
        <v>1761</v>
      </c>
      <c r="E801" s="136" t="s">
        <v>2124</v>
      </c>
      <c r="F801" s="48" t="s">
        <v>26</v>
      </c>
      <c r="G801" s="49">
        <v>10</v>
      </c>
      <c r="H801" s="50">
        <v>0</v>
      </c>
      <c r="I801" s="50">
        <v>0</v>
      </c>
      <c r="J801" s="50">
        <v>0</v>
      </c>
      <c r="K801" s="50">
        <f t="shared" si="60"/>
        <v>0</v>
      </c>
      <c r="L801" s="52">
        <f t="shared" si="61"/>
        <v>0</v>
      </c>
    </row>
    <row r="802" spans="3:12" s="53" customFormat="1" ht="27" customHeight="1">
      <c r="C802" s="46" t="s">
        <v>1848</v>
      </c>
      <c r="D802" s="47" t="s">
        <v>1040</v>
      </c>
      <c r="E802" s="136" t="s">
        <v>2124</v>
      </c>
      <c r="F802" s="48" t="s">
        <v>26</v>
      </c>
      <c r="G802" s="49">
        <v>2</v>
      </c>
      <c r="H802" s="50">
        <v>0</v>
      </c>
      <c r="I802" s="50">
        <v>0</v>
      </c>
      <c r="J802" s="50">
        <v>0</v>
      </c>
      <c r="K802" s="50">
        <f>+H802+I802+J802</f>
        <v>0</v>
      </c>
      <c r="L802" s="52">
        <f>+G802*K802</f>
        <v>0</v>
      </c>
    </row>
    <row r="803" spans="3:12" s="53" customFormat="1" ht="27" customHeight="1">
      <c r="C803" s="46" t="s">
        <v>1849</v>
      </c>
      <c r="D803" s="47" t="s">
        <v>2146</v>
      </c>
      <c r="E803" s="48" t="s">
        <v>2172</v>
      </c>
      <c r="F803" s="48" t="s">
        <v>26</v>
      </c>
      <c r="G803" s="49">
        <v>2</v>
      </c>
      <c r="H803" s="50">
        <v>0</v>
      </c>
      <c r="I803" s="50">
        <v>0</v>
      </c>
      <c r="J803" s="50">
        <v>0</v>
      </c>
      <c r="K803" s="50">
        <f>+H803+I803+J803</f>
        <v>0</v>
      </c>
      <c r="L803" s="52">
        <f>+G803*K803</f>
        <v>0</v>
      </c>
    </row>
    <row r="804" spans="3:12" s="53" customFormat="1" ht="27" customHeight="1">
      <c r="C804" s="46"/>
      <c r="D804" s="47"/>
      <c r="E804" s="48"/>
      <c r="F804" s="48"/>
      <c r="G804" s="49"/>
      <c r="H804" s="50"/>
      <c r="I804" s="50"/>
      <c r="J804" s="50"/>
      <c r="K804" s="50"/>
      <c r="L804" s="52"/>
    </row>
    <row r="805" spans="3:12" s="53" customFormat="1" ht="27" customHeight="1">
      <c r="C805" s="207" t="s">
        <v>1850</v>
      </c>
      <c r="D805" s="159" t="s">
        <v>1770</v>
      </c>
      <c r="E805" s="48"/>
      <c r="F805" s="48"/>
      <c r="G805" s="49"/>
      <c r="H805" s="50"/>
      <c r="I805" s="50"/>
      <c r="J805" s="50"/>
      <c r="K805" s="50"/>
      <c r="L805" s="52"/>
    </row>
    <row r="806" spans="3:12" s="53" customFormat="1" ht="27" customHeight="1">
      <c r="C806" s="46"/>
      <c r="D806" s="47"/>
      <c r="E806" s="48"/>
      <c r="F806" s="48"/>
      <c r="G806" s="49"/>
      <c r="H806" s="50"/>
      <c r="I806" s="50"/>
      <c r="J806" s="50"/>
      <c r="K806" s="50"/>
      <c r="L806" s="52"/>
    </row>
    <row r="807" spans="3:12" s="53" customFormat="1" ht="27" customHeight="1">
      <c r="C807" s="46" t="s">
        <v>1851</v>
      </c>
      <c r="D807" s="47" t="s">
        <v>1771</v>
      </c>
      <c r="E807" s="48" t="s">
        <v>351</v>
      </c>
      <c r="F807" s="48" t="s">
        <v>378</v>
      </c>
      <c r="G807" s="49">
        <v>2</v>
      </c>
      <c r="H807" s="50">
        <v>0</v>
      </c>
      <c r="I807" s="50">
        <v>0</v>
      </c>
      <c r="J807" s="50">
        <v>0</v>
      </c>
      <c r="K807" s="50">
        <f t="shared" ref="K807:K813" si="62">+H807+I807+J807</f>
        <v>0</v>
      </c>
      <c r="L807" s="52">
        <f t="shared" ref="L807:L813" si="63">+G807*K807</f>
        <v>0</v>
      </c>
    </row>
    <row r="808" spans="3:12" s="53" customFormat="1" ht="27" customHeight="1">
      <c r="C808" s="46" t="s">
        <v>1853</v>
      </c>
      <c r="D808" s="47" t="s">
        <v>1024</v>
      </c>
      <c r="E808" s="48" t="s">
        <v>351</v>
      </c>
      <c r="F808" s="48" t="s">
        <v>378</v>
      </c>
      <c r="G808" s="49">
        <v>2</v>
      </c>
      <c r="H808" s="50">
        <v>0</v>
      </c>
      <c r="I808" s="50">
        <v>0</v>
      </c>
      <c r="J808" s="50">
        <v>0</v>
      </c>
      <c r="K808" s="50">
        <f t="shared" si="62"/>
        <v>0</v>
      </c>
      <c r="L808" s="52">
        <f t="shared" si="63"/>
        <v>0</v>
      </c>
    </row>
    <row r="809" spans="3:12" s="53" customFormat="1" ht="27" customHeight="1">
      <c r="C809" s="46" t="s">
        <v>1852</v>
      </c>
      <c r="D809" s="47" t="s">
        <v>1019</v>
      </c>
      <c r="E809" s="48" t="s">
        <v>351</v>
      </c>
      <c r="F809" s="48" t="s">
        <v>378</v>
      </c>
      <c r="G809" s="49">
        <v>6</v>
      </c>
      <c r="H809" s="50">
        <v>0</v>
      </c>
      <c r="I809" s="50">
        <v>0</v>
      </c>
      <c r="J809" s="50">
        <v>0</v>
      </c>
      <c r="K809" s="50">
        <f t="shared" si="62"/>
        <v>0</v>
      </c>
      <c r="L809" s="52">
        <f t="shared" si="63"/>
        <v>0</v>
      </c>
    </row>
    <row r="810" spans="3:12" s="53" customFormat="1" ht="27" customHeight="1">
      <c r="C810" s="46" t="s">
        <v>1854</v>
      </c>
      <c r="D810" s="47" t="s">
        <v>1018</v>
      </c>
      <c r="E810" s="48" t="s">
        <v>1865</v>
      </c>
      <c r="F810" s="48" t="s">
        <v>378</v>
      </c>
      <c r="G810" s="49">
        <v>6</v>
      </c>
      <c r="H810" s="50">
        <v>0</v>
      </c>
      <c r="I810" s="50">
        <v>0</v>
      </c>
      <c r="J810" s="50">
        <v>0</v>
      </c>
      <c r="K810" s="50">
        <f t="shared" si="62"/>
        <v>0</v>
      </c>
      <c r="L810" s="52">
        <f t="shared" si="63"/>
        <v>0</v>
      </c>
    </row>
    <row r="811" spans="3:12" s="53" customFormat="1" ht="27" customHeight="1">
      <c r="C811" s="46" t="s">
        <v>1855</v>
      </c>
      <c r="D811" s="47" t="s">
        <v>1761</v>
      </c>
      <c r="E811" s="136" t="s">
        <v>2124</v>
      </c>
      <c r="F811" s="48" t="s">
        <v>26</v>
      </c>
      <c r="G811" s="49">
        <v>10</v>
      </c>
      <c r="H811" s="50">
        <v>0</v>
      </c>
      <c r="I811" s="50">
        <v>0</v>
      </c>
      <c r="J811" s="50">
        <v>0</v>
      </c>
      <c r="K811" s="50">
        <f t="shared" si="62"/>
        <v>0</v>
      </c>
      <c r="L811" s="52">
        <f t="shared" si="63"/>
        <v>0</v>
      </c>
    </row>
    <row r="812" spans="3:12" s="53" customFormat="1" ht="27" customHeight="1">
      <c r="C812" s="46" t="s">
        <v>1856</v>
      </c>
      <c r="D812" s="47" t="s">
        <v>1040</v>
      </c>
      <c r="E812" s="136" t="s">
        <v>2124</v>
      </c>
      <c r="F812" s="48" t="s">
        <v>26</v>
      </c>
      <c r="G812" s="49">
        <v>2</v>
      </c>
      <c r="H812" s="50">
        <v>0</v>
      </c>
      <c r="I812" s="50">
        <v>0</v>
      </c>
      <c r="J812" s="50">
        <v>0</v>
      </c>
      <c r="K812" s="50">
        <f t="shared" si="62"/>
        <v>0</v>
      </c>
      <c r="L812" s="52">
        <f t="shared" si="63"/>
        <v>0</v>
      </c>
    </row>
    <row r="813" spans="3:12" s="53" customFormat="1" ht="27" customHeight="1">
      <c r="C813" s="46" t="s">
        <v>1857</v>
      </c>
      <c r="D813" s="47" t="s">
        <v>2146</v>
      </c>
      <c r="E813" s="48" t="s">
        <v>2172</v>
      </c>
      <c r="F813" s="48" t="s">
        <v>26</v>
      </c>
      <c r="G813" s="49">
        <v>2</v>
      </c>
      <c r="H813" s="50">
        <v>0</v>
      </c>
      <c r="I813" s="50">
        <v>0</v>
      </c>
      <c r="J813" s="50">
        <v>0</v>
      </c>
      <c r="K813" s="50">
        <f t="shared" si="62"/>
        <v>0</v>
      </c>
      <c r="L813" s="52">
        <f t="shared" si="63"/>
        <v>0</v>
      </c>
    </row>
    <row r="814" spans="3:12" s="53" customFormat="1" ht="27" customHeight="1">
      <c r="C814" s="46"/>
      <c r="D814" s="47"/>
      <c r="E814" s="48"/>
      <c r="F814" s="48"/>
      <c r="G814" s="49"/>
      <c r="H814" s="50"/>
      <c r="I814" s="50"/>
      <c r="J814" s="50"/>
      <c r="K814" s="50"/>
      <c r="L814" s="52"/>
    </row>
    <row r="815" spans="3:12" s="53" customFormat="1" ht="27" customHeight="1">
      <c r="C815" s="207" t="s">
        <v>1866</v>
      </c>
      <c r="D815" s="159" t="s">
        <v>2285</v>
      </c>
      <c r="E815" s="48"/>
      <c r="F815" s="48"/>
      <c r="G815" s="49"/>
      <c r="H815" s="50"/>
      <c r="I815" s="50"/>
      <c r="J815" s="50"/>
      <c r="K815" s="50"/>
      <c r="L815" s="52"/>
    </row>
    <row r="816" spans="3:12" s="53" customFormat="1" ht="27" customHeight="1">
      <c r="C816" s="46"/>
      <c r="D816" s="47"/>
      <c r="E816" s="48"/>
      <c r="F816" s="48"/>
      <c r="G816" s="49"/>
      <c r="H816" s="50"/>
      <c r="I816" s="50"/>
      <c r="J816" s="50"/>
      <c r="K816" s="50"/>
      <c r="L816" s="52"/>
    </row>
    <row r="817" spans="3:12" s="53" customFormat="1" ht="27" customHeight="1">
      <c r="C817" s="46" t="s">
        <v>1867</v>
      </c>
      <c r="D817" s="47" t="s">
        <v>2286</v>
      </c>
      <c r="E817" s="48" t="s">
        <v>351</v>
      </c>
      <c r="F817" s="48" t="s">
        <v>378</v>
      </c>
      <c r="G817" s="49">
        <v>1</v>
      </c>
      <c r="H817" s="50">
        <v>0</v>
      </c>
      <c r="I817" s="50">
        <v>0</v>
      </c>
      <c r="J817" s="50">
        <v>0</v>
      </c>
      <c r="K817" s="50">
        <f t="shared" ref="K817:K823" si="64">+H817+I817+J817</f>
        <v>0</v>
      </c>
      <c r="L817" s="52">
        <f t="shared" ref="L817:L823" si="65">+G817*K817</f>
        <v>0</v>
      </c>
    </row>
    <row r="818" spans="3:12" s="53" customFormat="1" ht="27" customHeight="1">
      <c r="C818" s="46" t="s">
        <v>1868</v>
      </c>
      <c r="D818" s="47" t="s">
        <v>305</v>
      </c>
      <c r="E818" s="48" t="s">
        <v>351</v>
      </c>
      <c r="F818" s="48" t="s">
        <v>378</v>
      </c>
      <c r="G818" s="49">
        <v>1</v>
      </c>
      <c r="H818" s="50">
        <v>0</v>
      </c>
      <c r="I818" s="50">
        <v>0</v>
      </c>
      <c r="J818" s="50">
        <v>0</v>
      </c>
      <c r="K818" s="50">
        <f t="shared" si="64"/>
        <v>0</v>
      </c>
      <c r="L818" s="52">
        <f t="shared" si="65"/>
        <v>0</v>
      </c>
    </row>
    <row r="819" spans="3:12" s="53" customFormat="1" ht="27" customHeight="1">
      <c r="C819" s="46" t="s">
        <v>1869</v>
      </c>
      <c r="D819" s="47" t="s">
        <v>1182</v>
      </c>
      <c r="E819" s="48" t="s">
        <v>351</v>
      </c>
      <c r="F819" s="48" t="s">
        <v>378</v>
      </c>
      <c r="G819" s="49">
        <v>1</v>
      </c>
      <c r="H819" s="50">
        <v>0</v>
      </c>
      <c r="I819" s="50">
        <v>0</v>
      </c>
      <c r="J819" s="50">
        <v>0</v>
      </c>
      <c r="K819" s="50">
        <f t="shared" si="64"/>
        <v>0</v>
      </c>
      <c r="L819" s="52">
        <f t="shared" si="65"/>
        <v>0</v>
      </c>
    </row>
    <row r="820" spans="3:12" s="53" customFormat="1" ht="27" customHeight="1">
      <c r="C820" s="46" t="s">
        <v>1870</v>
      </c>
      <c r="D820" s="47" t="s">
        <v>1473</v>
      </c>
      <c r="E820" s="48" t="s">
        <v>351</v>
      </c>
      <c r="F820" s="48" t="s">
        <v>378</v>
      </c>
      <c r="G820" s="49">
        <v>1</v>
      </c>
      <c r="H820" s="50">
        <v>0</v>
      </c>
      <c r="I820" s="50">
        <v>0</v>
      </c>
      <c r="J820" s="50">
        <v>0</v>
      </c>
      <c r="K820" s="50">
        <f t="shared" si="64"/>
        <v>0</v>
      </c>
      <c r="L820" s="52">
        <f t="shared" si="65"/>
        <v>0</v>
      </c>
    </row>
    <row r="821" spans="3:12" s="53" customFormat="1" ht="27" customHeight="1">
      <c r="C821" s="46" t="s">
        <v>1871</v>
      </c>
      <c r="D821" s="47" t="s">
        <v>2287</v>
      </c>
      <c r="E821" s="48" t="s">
        <v>351</v>
      </c>
      <c r="F821" s="48" t="s">
        <v>378</v>
      </c>
      <c r="G821" s="49">
        <v>7</v>
      </c>
      <c r="H821" s="50">
        <v>0</v>
      </c>
      <c r="I821" s="50">
        <v>0</v>
      </c>
      <c r="J821" s="50">
        <v>0</v>
      </c>
      <c r="K821" s="50">
        <f t="shared" si="64"/>
        <v>0</v>
      </c>
      <c r="L821" s="52">
        <f t="shared" si="65"/>
        <v>0</v>
      </c>
    </row>
    <row r="822" spans="3:12" s="53" customFormat="1" ht="27" customHeight="1">
      <c r="C822" s="46" t="s">
        <v>1872</v>
      </c>
      <c r="D822" s="47" t="s">
        <v>2288</v>
      </c>
      <c r="E822" s="48" t="s">
        <v>351</v>
      </c>
      <c r="F822" s="48" t="s">
        <v>378</v>
      </c>
      <c r="G822" s="49">
        <v>7</v>
      </c>
      <c r="H822" s="50">
        <v>0</v>
      </c>
      <c r="I822" s="50">
        <v>0</v>
      </c>
      <c r="J822" s="50">
        <v>0</v>
      </c>
      <c r="K822" s="50">
        <f t="shared" si="64"/>
        <v>0</v>
      </c>
      <c r="L822" s="52">
        <f t="shared" si="65"/>
        <v>0</v>
      </c>
    </row>
    <row r="823" spans="3:12" s="53" customFormat="1" ht="27" customHeight="1">
      <c r="C823" s="46" t="s">
        <v>1873</v>
      </c>
      <c r="D823" s="47" t="s">
        <v>2289</v>
      </c>
      <c r="E823" s="48" t="s">
        <v>2172</v>
      </c>
      <c r="F823" s="48" t="s">
        <v>26</v>
      </c>
      <c r="G823" s="49">
        <v>1</v>
      </c>
      <c r="H823" s="50">
        <v>0</v>
      </c>
      <c r="I823" s="50">
        <v>0</v>
      </c>
      <c r="J823" s="50">
        <v>0</v>
      </c>
      <c r="K823" s="50">
        <f t="shared" si="64"/>
        <v>0</v>
      </c>
      <c r="L823" s="52">
        <f t="shared" si="65"/>
        <v>0</v>
      </c>
    </row>
    <row r="824" spans="3:12" s="53" customFormat="1" ht="27" customHeight="1">
      <c r="C824" s="46"/>
      <c r="D824" s="47"/>
      <c r="E824" s="48"/>
      <c r="F824" s="48"/>
      <c r="G824" s="49"/>
      <c r="H824" s="50"/>
      <c r="I824" s="50"/>
      <c r="J824" s="50"/>
      <c r="K824" s="50"/>
      <c r="L824" s="52"/>
    </row>
    <row r="825" spans="3:12" s="53" customFormat="1" ht="27" customHeight="1">
      <c r="C825" s="207" t="s">
        <v>2109</v>
      </c>
      <c r="D825" s="159" t="s">
        <v>2185</v>
      </c>
      <c r="E825" s="48"/>
      <c r="F825" s="48"/>
      <c r="G825" s="49"/>
      <c r="H825" s="50"/>
      <c r="I825" s="50"/>
      <c r="J825" s="50"/>
      <c r="K825" s="50"/>
      <c r="L825" s="52"/>
    </row>
    <row r="826" spans="3:12" s="53" customFormat="1" ht="27" customHeight="1">
      <c r="C826" s="46"/>
      <c r="D826" s="47"/>
      <c r="E826" s="48"/>
      <c r="F826" s="48"/>
      <c r="G826" s="49"/>
      <c r="H826" s="50"/>
      <c r="I826" s="50"/>
      <c r="J826" s="50"/>
      <c r="K826" s="50"/>
      <c r="L826" s="52"/>
    </row>
    <row r="827" spans="3:12" s="53" customFormat="1" ht="27" customHeight="1">
      <c r="C827" s="46" t="s">
        <v>2110</v>
      </c>
      <c r="D827" s="47" t="s">
        <v>2148</v>
      </c>
      <c r="E827" s="48" t="s">
        <v>2172</v>
      </c>
      <c r="F827" s="48" t="s">
        <v>307</v>
      </c>
      <c r="G827" s="49">
        <v>2</v>
      </c>
      <c r="H827" s="50">
        <v>0</v>
      </c>
      <c r="I827" s="50">
        <v>0</v>
      </c>
      <c r="J827" s="50">
        <v>0</v>
      </c>
      <c r="K827" s="50">
        <f t="shared" ref="K827:K836" si="66">+H827+I827+J827</f>
        <v>0</v>
      </c>
      <c r="L827" s="52">
        <f t="shared" ref="L827:L836" si="67">+G827*K827</f>
        <v>0</v>
      </c>
    </row>
    <row r="828" spans="3:12" s="53" customFormat="1" ht="27" customHeight="1">
      <c r="C828" s="46" t="s">
        <v>2111</v>
      </c>
      <c r="D828" s="47" t="s">
        <v>345</v>
      </c>
      <c r="E828" s="48" t="s">
        <v>351</v>
      </c>
      <c r="F828" s="48" t="s">
        <v>378</v>
      </c>
      <c r="G828" s="49">
        <v>2</v>
      </c>
      <c r="H828" s="50">
        <v>0</v>
      </c>
      <c r="I828" s="50">
        <v>0</v>
      </c>
      <c r="J828" s="50">
        <v>0</v>
      </c>
      <c r="K828" s="50">
        <f t="shared" si="66"/>
        <v>0</v>
      </c>
      <c r="L828" s="52">
        <f t="shared" si="67"/>
        <v>0</v>
      </c>
    </row>
    <row r="829" spans="3:12" s="53" customFormat="1" ht="27" customHeight="1">
      <c r="C829" s="46" t="s">
        <v>2112</v>
      </c>
      <c r="D829" s="47" t="s">
        <v>346</v>
      </c>
      <c r="E829" s="48" t="s">
        <v>351</v>
      </c>
      <c r="F829" s="48" t="s">
        <v>378</v>
      </c>
      <c r="G829" s="49">
        <v>2</v>
      </c>
      <c r="H829" s="50">
        <v>0</v>
      </c>
      <c r="I829" s="50">
        <v>0</v>
      </c>
      <c r="J829" s="50">
        <v>0</v>
      </c>
      <c r="K829" s="50">
        <f t="shared" si="66"/>
        <v>0</v>
      </c>
      <c r="L829" s="52">
        <f t="shared" si="67"/>
        <v>0</v>
      </c>
    </row>
    <row r="830" spans="3:12" s="53" customFormat="1" ht="27" customHeight="1">
      <c r="C830" s="46" t="s">
        <v>2113</v>
      </c>
      <c r="D830" s="47" t="s">
        <v>308</v>
      </c>
      <c r="E830" s="48" t="s">
        <v>351</v>
      </c>
      <c r="F830" s="48" t="s">
        <v>378</v>
      </c>
      <c r="G830" s="49">
        <v>2</v>
      </c>
      <c r="H830" s="50">
        <v>0</v>
      </c>
      <c r="I830" s="50">
        <v>0</v>
      </c>
      <c r="J830" s="50">
        <v>0</v>
      </c>
      <c r="K830" s="50">
        <f t="shared" si="66"/>
        <v>0</v>
      </c>
      <c r="L830" s="52">
        <f t="shared" si="67"/>
        <v>0</v>
      </c>
    </row>
    <row r="831" spans="3:12" s="53" customFormat="1" ht="27" customHeight="1">
      <c r="C831" s="46" t="s">
        <v>2114</v>
      </c>
      <c r="D831" s="47" t="s">
        <v>347</v>
      </c>
      <c r="E831" s="48" t="s">
        <v>351</v>
      </c>
      <c r="F831" s="48" t="s">
        <v>378</v>
      </c>
      <c r="G831" s="49">
        <v>2</v>
      </c>
      <c r="H831" s="50">
        <v>0</v>
      </c>
      <c r="I831" s="50">
        <v>0</v>
      </c>
      <c r="J831" s="50">
        <v>0</v>
      </c>
      <c r="K831" s="50">
        <f t="shared" si="66"/>
        <v>0</v>
      </c>
      <c r="L831" s="52">
        <f t="shared" si="67"/>
        <v>0</v>
      </c>
    </row>
    <row r="832" spans="3:12" s="53" customFormat="1" ht="27" customHeight="1">
      <c r="C832" s="46" t="s">
        <v>2290</v>
      </c>
      <c r="D832" s="47" t="s">
        <v>348</v>
      </c>
      <c r="E832" s="48" t="s">
        <v>351</v>
      </c>
      <c r="F832" s="48" t="s">
        <v>378</v>
      </c>
      <c r="G832" s="49">
        <v>2</v>
      </c>
      <c r="H832" s="50">
        <v>0</v>
      </c>
      <c r="I832" s="50">
        <v>0</v>
      </c>
      <c r="J832" s="50">
        <v>0</v>
      </c>
      <c r="K832" s="50">
        <f t="shared" si="66"/>
        <v>0</v>
      </c>
      <c r="L832" s="52">
        <f t="shared" si="67"/>
        <v>0</v>
      </c>
    </row>
    <row r="833" spans="3:12" s="53" customFormat="1" ht="27" customHeight="1">
      <c r="C833" s="46" t="s">
        <v>2291</v>
      </c>
      <c r="D833" s="47" t="s">
        <v>349</v>
      </c>
      <c r="E833" s="48" t="s">
        <v>351</v>
      </c>
      <c r="F833" s="48" t="s">
        <v>378</v>
      </c>
      <c r="G833" s="49">
        <v>2</v>
      </c>
      <c r="H833" s="50">
        <v>0</v>
      </c>
      <c r="I833" s="50">
        <v>0</v>
      </c>
      <c r="J833" s="50">
        <v>0</v>
      </c>
      <c r="K833" s="50">
        <f t="shared" si="66"/>
        <v>0</v>
      </c>
      <c r="L833" s="52">
        <f t="shared" si="67"/>
        <v>0</v>
      </c>
    </row>
    <row r="834" spans="3:12" s="53" customFormat="1" ht="27" customHeight="1">
      <c r="C834" s="46" t="s">
        <v>2292</v>
      </c>
      <c r="D834" s="47" t="s">
        <v>309</v>
      </c>
      <c r="E834" s="48" t="s">
        <v>355</v>
      </c>
      <c r="F834" s="48" t="s">
        <v>378</v>
      </c>
      <c r="G834" s="49">
        <v>6</v>
      </c>
      <c r="H834" s="50">
        <v>0</v>
      </c>
      <c r="I834" s="50">
        <v>0</v>
      </c>
      <c r="J834" s="50">
        <v>0</v>
      </c>
      <c r="K834" s="50">
        <f t="shared" si="66"/>
        <v>0</v>
      </c>
      <c r="L834" s="52">
        <f t="shared" si="67"/>
        <v>0</v>
      </c>
    </row>
    <row r="835" spans="3:12" s="53" customFormat="1" ht="27" customHeight="1">
      <c r="C835" s="46" t="s">
        <v>2293</v>
      </c>
      <c r="D835" s="47" t="s">
        <v>310</v>
      </c>
      <c r="E835" s="48" t="s">
        <v>351</v>
      </c>
      <c r="F835" s="48" t="s">
        <v>378</v>
      </c>
      <c r="G835" s="49">
        <v>2</v>
      </c>
      <c r="H835" s="50">
        <v>0</v>
      </c>
      <c r="I835" s="50">
        <v>0</v>
      </c>
      <c r="J835" s="50">
        <v>0</v>
      </c>
      <c r="K835" s="50">
        <f t="shared" si="66"/>
        <v>0</v>
      </c>
      <c r="L835" s="52">
        <f t="shared" si="67"/>
        <v>0</v>
      </c>
    </row>
    <row r="836" spans="3:12" s="53" customFormat="1" ht="27" customHeight="1">
      <c r="C836" s="46" t="s">
        <v>2294</v>
      </c>
      <c r="D836" s="47" t="s">
        <v>350</v>
      </c>
      <c r="E836" s="48" t="s">
        <v>351</v>
      </c>
      <c r="F836" s="48" t="s">
        <v>307</v>
      </c>
      <c r="G836" s="49">
        <v>2</v>
      </c>
      <c r="H836" s="50">
        <v>0</v>
      </c>
      <c r="I836" s="50">
        <v>0</v>
      </c>
      <c r="J836" s="50">
        <v>0</v>
      </c>
      <c r="K836" s="50">
        <f t="shared" si="66"/>
        <v>0</v>
      </c>
      <c r="L836" s="52">
        <f t="shared" si="67"/>
        <v>0</v>
      </c>
    </row>
    <row r="837" spans="3:12" s="53" customFormat="1" ht="27" customHeight="1">
      <c r="C837" s="46"/>
      <c r="D837" s="47"/>
      <c r="E837" s="48"/>
      <c r="F837" s="48"/>
      <c r="G837" s="49"/>
      <c r="H837" s="50"/>
      <c r="I837" s="50"/>
      <c r="J837" s="50"/>
      <c r="K837" s="50"/>
      <c r="L837" s="52"/>
    </row>
    <row r="838" spans="3:12" s="53" customFormat="1" ht="27" customHeight="1">
      <c r="C838" s="207" t="s">
        <v>2295</v>
      </c>
      <c r="D838" s="159" t="s">
        <v>2186</v>
      </c>
      <c r="E838" s="48"/>
      <c r="F838" s="48"/>
      <c r="G838" s="49"/>
      <c r="H838" s="50"/>
      <c r="I838" s="50"/>
      <c r="J838" s="50"/>
      <c r="K838" s="50"/>
      <c r="L838" s="52"/>
    </row>
    <row r="839" spans="3:12" s="53" customFormat="1" ht="27" customHeight="1">
      <c r="C839" s="46"/>
      <c r="D839" s="47"/>
      <c r="E839" s="48"/>
      <c r="F839" s="48"/>
      <c r="G839" s="49"/>
      <c r="H839" s="50"/>
      <c r="I839" s="50"/>
      <c r="J839" s="50"/>
      <c r="K839" s="50"/>
      <c r="L839" s="52"/>
    </row>
    <row r="840" spans="3:12" s="53" customFormat="1" ht="27" customHeight="1">
      <c r="C840" s="46" t="s">
        <v>2296</v>
      </c>
      <c r="D840" s="47" t="s">
        <v>2147</v>
      </c>
      <c r="E840" s="48" t="s">
        <v>351</v>
      </c>
      <c r="F840" s="48" t="s">
        <v>26</v>
      </c>
      <c r="G840" s="49">
        <v>1</v>
      </c>
      <c r="H840" s="50">
        <v>0</v>
      </c>
      <c r="I840" s="50">
        <v>0</v>
      </c>
      <c r="J840" s="50">
        <v>0</v>
      </c>
      <c r="K840" s="50">
        <f>+H840+I840+J840</f>
        <v>0</v>
      </c>
      <c r="L840" s="52">
        <f>+G840*K840</f>
        <v>0</v>
      </c>
    </row>
    <row r="841" spans="3:12" s="53" customFormat="1" ht="27" customHeight="1">
      <c r="C841" s="46" t="s">
        <v>2297</v>
      </c>
      <c r="D841" s="47" t="s">
        <v>2247</v>
      </c>
      <c r="E841" s="48" t="s">
        <v>351</v>
      </c>
      <c r="F841" s="48" t="s">
        <v>26</v>
      </c>
      <c r="G841" s="49">
        <v>1</v>
      </c>
      <c r="H841" s="50">
        <v>0</v>
      </c>
      <c r="I841" s="50">
        <v>0</v>
      </c>
      <c r="J841" s="50">
        <v>0</v>
      </c>
      <c r="K841" s="50">
        <f>+H841+I841+J841</f>
        <v>0</v>
      </c>
      <c r="L841" s="52">
        <f>+G841*K841</f>
        <v>0</v>
      </c>
    </row>
    <row r="842" spans="3:12" s="53" customFormat="1" ht="27" customHeight="1">
      <c r="C842" s="46" t="s">
        <v>2298</v>
      </c>
      <c r="D842" s="47" t="s">
        <v>2115</v>
      </c>
      <c r="E842" s="48" t="s">
        <v>351</v>
      </c>
      <c r="F842" s="48" t="s">
        <v>378</v>
      </c>
      <c r="G842" s="49">
        <v>2</v>
      </c>
      <c r="H842" s="50">
        <v>0</v>
      </c>
      <c r="I842" s="50">
        <v>0</v>
      </c>
      <c r="J842" s="50">
        <v>0</v>
      </c>
      <c r="K842" s="50">
        <f>+H842+I842+J842</f>
        <v>0</v>
      </c>
      <c r="L842" s="52">
        <f>+G842*K842</f>
        <v>0</v>
      </c>
    </row>
    <row r="843" spans="3:12" s="53" customFormat="1" ht="27" customHeight="1">
      <c r="C843" s="46" t="s">
        <v>2299</v>
      </c>
      <c r="D843" s="47" t="s">
        <v>2107</v>
      </c>
      <c r="E843" s="48" t="s">
        <v>351</v>
      </c>
      <c r="F843" s="48" t="s">
        <v>378</v>
      </c>
      <c r="G843" s="49">
        <v>3</v>
      </c>
      <c r="H843" s="50">
        <v>0</v>
      </c>
      <c r="I843" s="50">
        <v>0</v>
      </c>
      <c r="J843" s="50">
        <v>0</v>
      </c>
      <c r="K843" s="50">
        <f>+H843+I843+J843</f>
        <v>0</v>
      </c>
      <c r="L843" s="52">
        <f>+G843*K843</f>
        <v>0</v>
      </c>
    </row>
    <row r="844" spans="3:12" s="53" customFormat="1" ht="27" customHeight="1">
      <c r="C844" s="46" t="s">
        <v>2300</v>
      </c>
      <c r="D844" s="47" t="s">
        <v>2108</v>
      </c>
      <c r="E844" s="48" t="s">
        <v>1865</v>
      </c>
      <c r="F844" s="48" t="s">
        <v>378</v>
      </c>
      <c r="G844" s="49">
        <v>3</v>
      </c>
      <c r="H844" s="50">
        <v>0</v>
      </c>
      <c r="I844" s="50">
        <v>0</v>
      </c>
      <c r="J844" s="50">
        <v>0</v>
      </c>
      <c r="K844" s="50">
        <f>+H844+I844+J844</f>
        <v>0</v>
      </c>
      <c r="L844" s="52">
        <f>+G844*K844</f>
        <v>0</v>
      </c>
    </row>
    <row r="845" spans="3:12" s="53" customFormat="1">
      <c r="C845" s="46"/>
      <c r="D845" s="47"/>
      <c r="E845" s="48"/>
      <c r="F845" s="48"/>
      <c r="G845" s="49"/>
      <c r="H845" s="50"/>
      <c r="I845" s="50"/>
      <c r="J845" s="50"/>
      <c r="K845" s="50"/>
      <c r="L845" s="52"/>
    </row>
    <row r="846" spans="3:12" s="35" customFormat="1" ht="39.950000000000003" customHeight="1">
      <c r="C846" s="62"/>
      <c r="D846" s="63" t="s">
        <v>2149</v>
      </c>
      <c r="E846" s="64"/>
      <c r="F846" s="65"/>
      <c r="G846" s="66"/>
      <c r="H846" s="67">
        <f>SUMPRODUCT(G13:G844,H13:H844)</f>
        <v>0</v>
      </c>
      <c r="I846" s="67">
        <f>SUMPRODUCT(G13:G844,I13:I844)</f>
        <v>0</v>
      </c>
      <c r="J846" s="67">
        <f>SUMPRODUCT(G13:G844,J13:J844)</f>
        <v>0</v>
      </c>
      <c r="K846" s="68"/>
      <c r="L846" s="69">
        <f>SUM(L13:L845)</f>
        <v>0</v>
      </c>
    </row>
    <row r="847" spans="3:12" s="35" customFormat="1">
      <c r="C847" s="70"/>
      <c r="D847" s="57"/>
      <c r="E847" s="58"/>
      <c r="F847" s="58"/>
      <c r="G847" s="55"/>
      <c r="H847" s="51"/>
      <c r="I847" s="56"/>
      <c r="J847" s="56"/>
      <c r="K847" s="51"/>
      <c r="L847" s="59"/>
    </row>
    <row r="848" spans="3:12" s="35" customFormat="1" ht="30" customHeight="1">
      <c r="C848" s="25" t="s">
        <v>6</v>
      </c>
      <c r="D848" s="26" t="s">
        <v>27</v>
      </c>
      <c r="E848" s="27"/>
      <c r="F848" s="28"/>
      <c r="G848" s="29"/>
      <c r="H848" s="30"/>
      <c r="I848" s="31"/>
      <c r="J848" s="31"/>
      <c r="K848" s="32"/>
      <c r="L848" s="33"/>
    </row>
    <row r="849" spans="3:12" s="35" customFormat="1" ht="58.15" customHeight="1">
      <c r="C849" s="25" t="s">
        <v>28</v>
      </c>
      <c r="D849" s="26" t="s">
        <v>2150</v>
      </c>
      <c r="E849" s="27"/>
      <c r="F849" s="28"/>
      <c r="G849" s="29"/>
      <c r="H849" s="30"/>
      <c r="I849" s="31"/>
      <c r="J849" s="31"/>
      <c r="K849" s="32"/>
      <c r="L849" s="33"/>
    </row>
    <row r="850" spans="3:12" s="35" customFormat="1" ht="25.9" customHeight="1">
      <c r="C850" s="25"/>
      <c r="D850" s="26" t="s">
        <v>2279</v>
      </c>
      <c r="E850" s="27"/>
      <c r="F850" s="28"/>
      <c r="G850" s="29"/>
      <c r="H850" s="30"/>
      <c r="I850" s="31"/>
      <c r="J850" s="31"/>
      <c r="K850" s="32"/>
      <c r="L850" s="33"/>
    </row>
    <row r="851" spans="3:12" s="35" customFormat="1" ht="24.6" customHeight="1">
      <c r="C851" s="25" t="s">
        <v>28</v>
      </c>
      <c r="D851" s="26" t="s">
        <v>29</v>
      </c>
      <c r="E851" s="27"/>
      <c r="F851" s="28"/>
      <c r="G851" s="29"/>
      <c r="H851" s="30"/>
      <c r="I851" s="31"/>
      <c r="J851" s="31"/>
      <c r="K851" s="32"/>
      <c r="L851" s="33"/>
    </row>
    <row r="852" spans="3:12" s="34" customFormat="1" ht="24.6" customHeight="1">
      <c r="C852" s="150" t="s">
        <v>28</v>
      </c>
      <c r="D852" s="151" t="s">
        <v>31</v>
      </c>
      <c r="E852" s="79"/>
      <c r="F852" s="80"/>
      <c r="G852" s="81"/>
      <c r="H852" s="82"/>
      <c r="I852" s="83"/>
      <c r="J852" s="83"/>
      <c r="K852" s="83"/>
      <c r="L852" s="85"/>
    </row>
    <row r="853" spans="3:12" s="34" customFormat="1" ht="24.6" customHeight="1">
      <c r="C853" s="150"/>
      <c r="D853" s="151" t="s">
        <v>32</v>
      </c>
      <c r="E853" s="79"/>
      <c r="F853" s="80"/>
      <c r="G853" s="81"/>
      <c r="H853" s="82"/>
      <c r="I853" s="83"/>
      <c r="J853" s="83"/>
      <c r="K853" s="83"/>
      <c r="L853" s="85"/>
    </row>
    <row r="854" spans="3:12" s="78" customFormat="1" ht="24.6" customHeight="1">
      <c r="C854" s="152" t="s">
        <v>30</v>
      </c>
      <c r="D854" s="153" t="s">
        <v>33</v>
      </c>
      <c r="E854" s="76" t="s">
        <v>356</v>
      </c>
      <c r="F854" s="76" t="s">
        <v>387</v>
      </c>
      <c r="G854" s="77">
        <v>2000</v>
      </c>
      <c r="H854" s="50">
        <v>0</v>
      </c>
      <c r="I854" s="50">
        <v>0</v>
      </c>
      <c r="J854" s="50">
        <v>0</v>
      </c>
      <c r="K854" s="50">
        <f>+H854+I854+J854</f>
        <v>0</v>
      </c>
      <c r="L854" s="52">
        <f>+K854*G854</f>
        <v>0</v>
      </c>
    </row>
    <row r="855" spans="3:12" s="78" customFormat="1" ht="24.6" customHeight="1">
      <c r="C855" s="152" t="s">
        <v>218</v>
      </c>
      <c r="D855" s="153" t="s">
        <v>2280</v>
      </c>
      <c r="E855" s="76" t="s">
        <v>356</v>
      </c>
      <c r="F855" s="76" t="s">
        <v>387</v>
      </c>
      <c r="G855" s="77">
        <v>200</v>
      </c>
      <c r="H855" s="50">
        <v>0</v>
      </c>
      <c r="I855" s="50">
        <v>0</v>
      </c>
      <c r="J855" s="50">
        <v>0</v>
      </c>
      <c r="K855" s="50">
        <f>+H855+I855+J855</f>
        <v>0</v>
      </c>
      <c r="L855" s="52">
        <f>+K855*G855</f>
        <v>0</v>
      </c>
    </row>
    <row r="856" spans="3:12" s="78" customFormat="1" ht="24.6" customHeight="1">
      <c r="C856" s="152" t="s">
        <v>306</v>
      </c>
      <c r="D856" s="153" t="s">
        <v>150</v>
      </c>
      <c r="E856" s="76" t="s">
        <v>356</v>
      </c>
      <c r="F856" s="76" t="s">
        <v>387</v>
      </c>
      <c r="G856" s="77">
        <v>475</v>
      </c>
      <c r="H856" s="50">
        <v>0</v>
      </c>
      <c r="I856" s="50">
        <v>0</v>
      </c>
      <c r="J856" s="50">
        <v>0</v>
      </c>
      <c r="K856" s="50">
        <f>+H856+I856+J856</f>
        <v>0</v>
      </c>
      <c r="L856" s="52">
        <f>+K856*G856</f>
        <v>0</v>
      </c>
    </row>
    <row r="857" spans="3:12" s="78" customFormat="1" ht="24.6" customHeight="1">
      <c r="C857" s="152"/>
      <c r="D857" s="153"/>
      <c r="E857" s="76"/>
      <c r="F857" s="76"/>
      <c r="G857" s="77"/>
      <c r="H857" s="50"/>
      <c r="I857" s="50"/>
      <c r="J857" s="50"/>
      <c r="K857" s="50"/>
      <c r="L857" s="52"/>
    </row>
    <row r="858" spans="3:12" s="78" customFormat="1" ht="24.6" customHeight="1">
      <c r="C858" s="152" t="s">
        <v>34</v>
      </c>
      <c r="D858" s="151" t="s">
        <v>781</v>
      </c>
      <c r="E858" s="76"/>
      <c r="F858" s="76"/>
      <c r="G858" s="77"/>
      <c r="H858" s="50"/>
      <c r="I858" s="50"/>
      <c r="J858" s="50"/>
      <c r="K858" s="50"/>
      <c r="L858" s="52"/>
    </row>
    <row r="859" spans="3:12" s="78" customFormat="1" ht="24.6" customHeight="1">
      <c r="C859" s="152" t="s">
        <v>35</v>
      </c>
      <c r="D859" s="153" t="s">
        <v>779</v>
      </c>
      <c r="E859" s="76" t="s">
        <v>844</v>
      </c>
      <c r="F859" s="76" t="s">
        <v>387</v>
      </c>
      <c r="G859" s="77">
        <v>1000</v>
      </c>
      <c r="H859" s="50">
        <v>0</v>
      </c>
      <c r="I859" s="50">
        <v>0</v>
      </c>
      <c r="J859" s="50">
        <v>0</v>
      </c>
      <c r="K859" s="50">
        <f>+H859+I859+J859</f>
        <v>0</v>
      </c>
      <c r="L859" s="52">
        <f>+K859*G859</f>
        <v>0</v>
      </c>
    </row>
    <row r="860" spans="3:12" s="78" customFormat="1" ht="24.6" customHeight="1">
      <c r="C860" s="152" t="s">
        <v>36</v>
      </c>
      <c r="D860" s="153" t="s">
        <v>780</v>
      </c>
      <c r="E860" s="76" t="s">
        <v>356</v>
      </c>
      <c r="F860" s="76" t="s">
        <v>387</v>
      </c>
      <c r="G860" s="77">
        <v>2000</v>
      </c>
      <c r="H860" s="50">
        <v>0</v>
      </c>
      <c r="I860" s="50">
        <v>0</v>
      </c>
      <c r="J860" s="50">
        <v>0</v>
      </c>
      <c r="K860" s="50">
        <f>+H860+I860+J860</f>
        <v>0</v>
      </c>
      <c r="L860" s="52">
        <f>+K860*G860</f>
        <v>0</v>
      </c>
    </row>
    <row r="861" spans="3:12" s="53" customFormat="1" ht="24.6" customHeight="1">
      <c r="C861" s="154"/>
      <c r="D861" s="47"/>
      <c r="E861" s="48"/>
      <c r="F861" s="48"/>
      <c r="G861" s="49"/>
      <c r="H861" s="50"/>
      <c r="I861" s="54"/>
      <c r="J861" s="54"/>
      <c r="K861" s="50"/>
      <c r="L861" s="52"/>
    </row>
    <row r="862" spans="3:12" s="53" customFormat="1" ht="39.6" customHeight="1">
      <c r="C862" s="150" t="s">
        <v>216</v>
      </c>
      <c r="D862" s="151" t="s">
        <v>925</v>
      </c>
      <c r="E862" s="79"/>
      <c r="F862" s="80"/>
      <c r="G862" s="81"/>
      <c r="H862" s="82"/>
      <c r="I862" s="83"/>
      <c r="J862" s="83"/>
      <c r="K862" s="83"/>
      <c r="L862" s="85"/>
    </row>
    <row r="863" spans="3:12" s="78" customFormat="1" ht="24.6" customHeight="1">
      <c r="C863" s="154" t="s">
        <v>38</v>
      </c>
      <c r="D863" s="153" t="s">
        <v>883</v>
      </c>
      <c r="E863" s="76" t="s">
        <v>356</v>
      </c>
      <c r="F863" s="76" t="s">
        <v>387</v>
      </c>
      <c r="G863" s="77">
        <v>1967</v>
      </c>
      <c r="H863" s="50">
        <v>0</v>
      </c>
      <c r="I863" s="50">
        <v>0</v>
      </c>
      <c r="J863" s="50">
        <v>0</v>
      </c>
      <c r="K863" s="50">
        <f t="shared" ref="K863:K884" si="68">+H863+I863+J863</f>
        <v>0</v>
      </c>
      <c r="L863" s="52">
        <f t="shared" ref="L863:L884" si="69">+K863*G863</f>
        <v>0</v>
      </c>
    </row>
    <row r="864" spans="3:12" s="78" customFormat="1" ht="24.6" customHeight="1">
      <c r="C864" s="154" t="s">
        <v>39</v>
      </c>
      <c r="D864" s="153" t="s">
        <v>884</v>
      </c>
      <c r="E864" s="76" t="s">
        <v>356</v>
      </c>
      <c r="F864" s="76" t="s">
        <v>387</v>
      </c>
      <c r="G864" s="77">
        <v>45</v>
      </c>
      <c r="H864" s="50">
        <v>0</v>
      </c>
      <c r="I864" s="50">
        <v>0</v>
      </c>
      <c r="J864" s="50">
        <v>0</v>
      </c>
      <c r="K864" s="50">
        <f t="shared" si="68"/>
        <v>0</v>
      </c>
      <c r="L864" s="52">
        <f t="shared" si="69"/>
        <v>0</v>
      </c>
    </row>
    <row r="865" spans="3:12" s="78" customFormat="1" ht="24.6" customHeight="1">
      <c r="C865" s="154" t="s">
        <v>173</v>
      </c>
      <c r="D865" s="153" t="s">
        <v>885</v>
      </c>
      <c r="E865" s="76" t="s">
        <v>356</v>
      </c>
      <c r="F865" s="76" t="s">
        <v>387</v>
      </c>
      <c r="G865" s="77">
        <v>500</v>
      </c>
      <c r="H865" s="50">
        <v>0</v>
      </c>
      <c r="I865" s="50">
        <v>0</v>
      </c>
      <c r="J865" s="50">
        <v>0</v>
      </c>
      <c r="K865" s="50">
        <f t="shared" si="68"/>
        <v>0</v>
      </c>
      <c r="L865" s="52">
        <f t="shared" si="69"/>
        <v>0</v>
      </c>
    </row>
    <row r="866" spans="3:12" s="78" customFormat="1" ht="24.6" customHeight="1">
      <c r="C866" s="154" t="s">
        <v>174</v>
      </c>
      <c r="D866" s="153" t="s">
        <v>886</v>
      </c>
      <c r="E866" s="76" t="s">
        <v>356</v>
      </c>
      <c r="F866" s="76" t="s">
        <v>387</v>
      </c>
      <c r="G866" s="77">
        <v>50</v>
      </c>
      <c r="H866" s="50">
        <v>0</v>
      </c>
      <c r="I866" s="50">
        <v>0</v>
      </c>
      <c r="J866" s="50">
        <v>0</v>
      </c>
      <c r="K866" s="50">
        <f t="shared" si="68"/>
        <v>0</v>
      </c>
      <c r="L866" s="52">
        <f t="shared" si="69"/>
        <v>0</v>
      </c>
    </row>
    <row r="867" spans="3:12" s="78" customFormat="1" ht="24.6" customHeight="1">
      <c r="C867" s="154" t="s">
        <v>175</v>
      </c>
      <c r="D867" s="153" t="s">
        <v>887</v>
      </c>
      <c r="E867" s="76" t="s">
        <v>356</v>
      </c>
      <c r="F867" s="76" t="s">
        <v>387</v>
      </c>
      <c r="G867" s="77">
        <v>3142</v>
      </c>
      <c r="H867" s="50">
        <v>0</v>
      </c>
      <c r="I867" s="50">
        <v>0</v>
      </c>
      <c r="J867" s="50">
        <v>0</v>
      </c>
      <c r="K867" s="50">
        <f t="shared" si="68"/>
        <v>0</v>
      </c>
      <c r="L867" s="52">
        <f t="shared" si="69"/>
        <v>0</v>
      </c>
    </row>
    <row r="868" spans="3:12" s="78" customFormat="1" ht="24.6" customHeight="1">
      <c r="C868" s="154" t="s">
        <v>219</v>
      </c>
      <c r="D868" s="153" t="s">
        <v>888</v>
      </c>
      <c r="E868" s="76" t="s">
        <v>356</v>
      </c>
      <c r="F868" s="76" t="s">
        <v>387</v>
      </c>
      <c r="G868" s="77">
        <v>763</v>
      </c>
      <c r="H868" s="50">
        <v>0</v>
      </c>
      <c r="I868" s="50">
        <v>0</v>
      </c>
      <c r="J868" s="50">
        <v>0</v>
      </c>
      <c r="K868" s="50">
        <f t="shared" si="68"/>
        <v>0</v>
      </c>
      <c r="L868" s="52">
        <f t="shared" si="69"/>
        <v>0</v>
      </c>
    </row>
    <row r="869" spans="3:12" s="78" customFormat="1" ht="24.6" customHeight="1">
      <c r="C869" s="154" t="s">
        <v>220</v>
      </c>
      <c r="D869" s="153" t="s">
        <v>889</v>
      </c>
      <c r="E869" s="76" t="s">
        <v>356</v>
      </c>
      <c r="F869" s="76" t="s">
        <v>387</v>
      </c>
      <c r="G869" s="77">
        <f>1275-550</f>
        <v>725</v>
      </c>
      <c r="H869" s="50">
        <v>0</v>
      </c>
      <c r="I869" s="50">
        <v>0</v>
      </c>
      <c r="J869" s="50">
        <v>0</v>
      </c>
      <c r="K869" s="50">
        <f t="shared" si="68"/>
        <v>0</v>
      </c>
      <c r="L869" s="52">
        <f t="shared" si="69"/>
        <v>0</v>
      </c>
    </row>
    <row r="870" spans="3:12" s="78" customFormat="1" ht="24.6" customHeight="1">
      <c r="C870" s="154" t="s">
        <v>221</v>
      </c>
      <c r="D870" s="153" t="s">
        <v>890</v>
      </c>
      <c r="E870" s="76" t="s">
        <v>356</v>
      </c>
      <c r="F870" s="76" t="s">
        <v>387</v>
      </c>
      <c r="G870" s="77">
        <f>3121+550</f>
        <v>3671</v>
      </c>
      <c r="H870" s="50">
        <v>0</v>
      </c>
      <c r="I870" s="50">
        <v>0</v>
      </c>
      <c r="J870" s="50">
        <v>0</v>
      </c>
      <c r="K870" s="50">
        <f t="shared" si="68"/>
        <v>0</v>
      </c>
      <c r="L870" s="52">
        <f t="shared" si="69"/>
        <v>0</v>
      </c>
    </row>
    <row r="871" spans="3:12" s="78" customFormat="1" ht="24.6" customHeight="1">
      <c r="C871" s="154" t="s">
        <v>222</v>
      </c>
      <c r="D871" s="153" t="s">
        <v>891</v>
      </c>
      <c r="E871" s="76" t="s">
        <v>356</v>
      </c>
      <c r="F871" s="76" t="s">
        <v>387</v>
      </c>
      <c r="G871" s="77">
        <v>385</v>
      </c>
      <c r="H871" s="50">
        <v>0</v>
      </c>
      <c r="I871" s="50">
        <v>0</v>
      </c>
      <c r="J871" s="50">
        <v>0</v>
      </c>
      <c r="K871" s="50">
        <f t="shared" si="68"/>
        <v>0</v>
      </c>
      <c r="L871" s="52">
        <f t="shared" si="69"/>
        <v>0</v>
      </c>
    </row>
    <row r="872" spans="3:12" s="78" customFormat="1" ht="24.6" customHeight="1">
      <c r="C872" s="154" t="s">
        <v>223</v>
      </c>
      <c r="D872" s="153" t="s">
        <v>892</v>
      </c>
      <c r="E872" s="76" t="s">
        <v>356</v>
      </c>
      <c r="F872" s="76" t="s">
        <v>387</v>
      </c>
      <c r="G872" s="77">
        <v>2740</v>
      </c>
      <c r="H872" s="50">
        <v>0</v>
      </c>
      <c r="I872" s="50">
        <v>0</v>
      </c>
      <c r="J872" s="50">
        <v>0</v>
      </c>
      <c r="K872" s="50">
        <f t="shared" si="68"/>
        <v>0</v>
      </c>
      <c r="L872" s="52">
        <f t="shared" si="69"/>
        <v>0</v>
      </c>
    </row>
    <row r="873" spans="3:12" s="78" customFormat="1" ht="24.6" customHeight="1">
      <c r="C873" s="154" t="s">
        <v>224</v>
      </c>
      <c r="D873" s="153" t="s">
        <v>576</v>
      </c>
      <c r="E873" s="76" t="s">
        <v>356</v>
      </c>
      <c r="F873" s="76" t="s">
        <v>387</v>
      </c>
      <c r="G873" s="77">
        <v>571</v>
      </c>
      <c r="H873" s="50">
        <v>0</v>
      </c>
      <c r="I873" s="50">
        <v>0</v>
      </c>
      <c r="J873" s="50">
        <v>0</v>
      </c>
      <c r="K873" s="50">
        <f t="shared" si="68"/>
        <v>0</v>
      </c>
      <c r="L873" s="52">
        <f t="shared" si="69"/>
        <v>0</v>
      </c>
    </row>
    <row r="874" spans="3:12" s="78" customFormat="1" ht="24.6" customHeight="1">
      <c r="C874" s="154" t="s">
        <v>225</v>
      </c>
      <c r="D874" s="153" t="s">
        <v>580</v>
      </c>
      <c r="E874" s="76" t="s">
        <v>356</v>
      </c>
      <c r="F874" s="76" t="s">
        <v>387</v>
      </c>
      <c r="G874" s="77">
        <f>154+270+979</f>
        <v>1403</v>
      </c>
      <c r="H874" s="50">
        <v>0</v>
      </c>
      <c r="I874" s="50">
        <v>0</v>
      </c>
      <c r="J874" s="50">
        <v>0</v>
      </c>
      <c r="K874" s="50">
        <f t="shared" si="68"/>
        <v>0</v>
      </c>
      <c r="L874" s="52">
        <f t="shared" si="69"/>
        <v>0</v>
      </c>
    </row>
    <row r="875" spans="3:12" s="78" customFormat="1" ht="24.6" customHeight="1">
      <c r="C875" s="154" t="s">
        <v>226</v>
      </c>
      <c r="D875" s="153" t="s">
        <v>579</v>
      </c>
      <c r="E875" s="76" t="s">
        <v>356</v>
      </c>
      <c r="F875" s="76" t="s">
        <v>387</v>
      </c>
      <c r="G875" s="77">
        <v>592</v>
      </c>
      <c r="H875" s="50">
        <v>0</v>
      </c>
      <c r="I875" s="50">
        <v>0</v>
      </c>
      <c r="J875" s="50">
        <v>0</v>
      </c>
      <c r="K875" s="50">
        <f t="shared" si="68"/>
        <v>0</v>
      </c>
      <c r="L875" s="52">
        <f t="shared" si="69"/>
        <v>0</v>
      </c>
    </row>
    <row r="876" spans="3:12" s="78" customFormat="1" ht="24.6" customHeight="1">
      <c r="C876" s="154" t="s">
        <v>226</v>
      </c>
      <c r="D876" s="153" t="s">
        <v>1016</v>
      </c>
      <c r="E876" s="76" t="s">
        <v>356</v>
      </c>
      <c r="F876" s="76" t="s">
        <v>387</v>
      </c>
      <c r="G876" s="77">
        <v>200</v>
      </c>
      <c r="H876" s="50">
        <v>0</v>
      </c>
      <c r="I876" s="50">
        <v>0</v>
      </c>
      <c r="J876" s="50">
        <v>0</v>
      </c>
      <c r="K876" s="50">
        <f>+H876+I876+J876</f>
        <v>0</v>
      </c>
      <c r="L876" s="52">
        <f>+K876*G876</f>
        <v>0</v>
      </c>
    </row>
    <row r="877" spans="3:12" s="78" customFormat="1" ht="24.6" customHeight="1">
      <c r="C877" s="154" t="s">
        <v>227</v>
      </c>
      <c r="D877" s="153" t="s">
        <v>577</v>
      </c>
      <c r="E877" s="76" t="s">
        <v>356</v>
      </c>
      <c r="F877" s="76" t="s">
        <v>387</v>
      </c>
      <c r="G877" s="77">
        <v>185</v>
      </c>
      <c r="H877" s="50">
        <v>0</v>
      </c>
      <c r="I877" s="50">
        <v>0</v>
      </c>
      <c r="J877" s="50">
        <v>0</v>
      </c>
      <c r="K877" s="50">
        <f t="shared" si="68"/>
        <v>0</v>
      </c>
      <c r="L877" s="52">
        <f t="shared" si="69"/>
        <v>0</v>
      </c>
    </row>
    <row r="878" spans="3:12" s="53" customFormat="1" ht="24.6" customHeight="1">
      <c r="C878" s="154" t="s">
        <v>384</v>
      </c>
      <c r="D878" s="47" t="s">
        <v>578</v>
      </c>
      <c r="E878" s="76" t="s">
        <v>356</v>
      </c>
      <c r="F878" s="76" t="s">
        <v>387</v>
      </c>
      <c r="G878" s="49">
        <v>48</v>
      </c>
      <c r="H878" s="50">
        <v>0</v>
      </c>
      <c r="I878" s="50">
        <v>0</v>
      </c>
      <c r="J878" s="50">
        <v>0</v>
      </c>
      <c r="K878" s="50">
        <f t="shared" si="68"/>
        <v>0</v>
      </c>
      <c r="L878" s="52">
        <f t="shared" si="69"/>
        <v>0</v>
      </c>
    </row>
    <row r="879" spans="3:12" s="53" customFormat="1" ht="24.6" customHeight="1">
      <c r="C879" s="154" t="s">
        <v>782</v>
      </c>
      <c r="D879" s="47" t="s">
        <v>581</v>
      </c>
      <c r="E879" s="76" t="s">
        <v>356</v>
      </c>
      <c r="F879" s="76" t="s">
        <v>387</v>
      </c>
      <c r="G879" s="49">
        <v>145</v>
      </c>
      <c r="H879" s="50">
        <v>0</v>
      </c>
      <c r="I879" s="50">
        <v>0</v>
      </c>
      <c r="J879" s="50">
        <v>0</v>
      </c>
      <c r="K879" s="50">
        <f t="shared" si="68"/>
        <v>0</v>
      </c>
      <c r="L879" s="52">
        <f t="shared" si="69"/>
        <v>0</v>
      </c>
    </row>
    <row r="880" spans="3:12" s="53" customFormat="1" ht="24.6" customHeight="1">
      <c r="C880" s="154" t="s">
        <v>783</v>
      </c>
      <c r="D880" s="47" t="s">
        <v>582</v>
      </c>
      <c r="E880" s="76" t="s">
        <v>356</v>
      </c>
      <c r="F880" s="76" t="s">
        <v>387</v>
      </c>
      <c r="G880" s="49">
        <v>610</v>
      </c>
      <c r="H880" s="50">
        <v>0</v>
      </c>
      <c r="I880" s="50">
        <v>0</v>
      </c>
      <c r="J880" s="50">
        <v>0</v>
      </c>
      <c r="K880" s="50">
        <f t="shared" si="68"/>
        <v>0</v>
      </c>
      <c r="L880" s="52">
        <f t="shared" si="69"/>
        <v>0</v>
      </c>
    </row>
    <row r="881" spans="3:12" s="78" customFormat="1" ht="24.6" customHeight="1">
      <c r="C881" s="154" t="s">
        <v>784</v>
      </c>
      <c r="D881" s="153" t="s">
        <v>778</v>
      </c>
      <c r="E881" s="76" t="s">
        <v>356</v>
      </c>
      <c r="F881" s="76" t="s">
        <v>387</v>
      </c>
      <c r="G881" s="77">
        <v>240</v>
      </c>
      <c r="H881" s="50">
        <v>0</v>
      </c>
      <c r="I881" s="50">
        <v>0</v>
      </c>
      <c r="J881" s="50">
        <v>0</v>
      </c>
      <c r="K881" s="50">
        <f t="shared" si="68"/>
        <v>0</v>
      </c>
      <c r="L881" s="52">
        <f t="shared" si="69"/>
        <v>0</v>
      </c>
    </row>
    <row r="882" spans="3:12" s="78" customFormat="1" ht="24.6" customHeight="1">
      <c r="C882" s="154" t="s">
        <v>785</v>
      </c>
      <c r="D882" s="153" t="s">
        <v>893</v>
      </c>
      <c r="E882" s="76" t="s">
        <v>356</v>
      </c>
      <c r="F882" s="76" t="s">
        <v>387</v>
      </c>
      <c r="G882" s="77">
        <v>1</v>
      </c>
      <c r="H882" s="50">
        <v>0</v>
      </c>
      <c r="I882" s="50">
        <v>0</v>
      </c>
      <c r="J882" s="50">
        <v>0</v>
      </c>
      <c r="K882" s="50">
        <f t="shared" si="68"/>
        <v>0</v>
      </c>
      <c r="L882" s="52">
        <f t="shared" si="69"/>
        <v>0</v>
      </c>
    </row>
    <row r="883" spans="3:12" s="78" customFormat="1" ht="24.6" customHeight="1">
      <c r="C883" s="154" t="s">
        <v>786</v>
      </c>
      <c r="D883" s="153" t="s">
        <v>894</v>
      </c>
      <c r="E883" s="76" t="s">
        <v>356</v>
      </c>
      <c r="F883" s="76" t="s">
        <v>387</v>
      </c>
      <c r="G883" s="77">
        <v>1</v>
      </c>
      <c r="H883" s="50">
        <v>0</v>
      </c>
      <c r="I883" s="50">
        <v>0</v>
      </c>
      <c r="J883" s="50">
        <v>0</v>
      </c>
      <c r="K883" s="50">
        <f t="shared" si="68"/>
        <v>0</v>
      </c>
      <c r="L883" s="52">
        <f t="shared" si="69"/>
        <v>0</v>
      </c>
    </row>
    <row r="884" spans="3:12" s="78" customFormat="1" ht="24.6" customHeight="1">
      <c r="C884" s="154" t="s">
        <v>787</v>
      </c>
      <c r="D884" s="153" t="s">
        <v>895</v>
      </c>
      <c r="E884" s="76" t="s">
        <v>356</v>
      </c>
      <c r="F884" s="76" t="s">
        <v>387</v>
      </c>
      <c r="G884" s="77">
        <v>1</v>
      </c>
      <c r="H884" s="50">
        <v>0</v>
      </c>
      <c r="I884" s="50">
        <v>0</v>
      </c>
      <c r="J884" s="50">
        <v>0</v>
      </c>
      <c r="K884" s="50">
        <f t="shared" si="68"/>
        <v>0</v>
      </c>
      <c r="L884" s="52">
        <f t="shared" si="69"/>
        <v>0</v>
      </c>
    </row>
    <row r="885" spans="3:12" s="90" customFormat="1" ht="24.6" customHeight="1">
      <c r="C885" s="154"/>
      <c r="D885" s="155"/>
      <c r="E885" s="86"/>
      <c r="F885" s="86"/>
      <c r="G885" s="77"/>
      <c r="H885" s="87"/>
      <c r="I885" s="88"/>
      <c r="J885" s="88"/>
      <c r="K885" s="87"/>
      <c r="L885" s="89"/>
    </row>
    <row r="886" spans="3:12" s="53" customFormat="1" ht="47.45" customHeight="1">
      <c r="C886" s="156" t="s">
        <v>217</v>
      </c>
      <c r="D886" s="151" t="s">
        <v>1012</v>
      </c>
      <c r="E886" s="79"/>
      <c r="F886" s="80"/>
      <c r="G886" s="81"/>
      <c r="H886" s="82"/>
      <c r="I886" s="83"/>
      <c r="J886" s="83"/>
      <c r="K886" s="83"/>
      <c r="L886" s="85"/>
    </row>
    <row r="887" spans="3:12" s="78" customFormat="1" ht="24.6" customHeight="1">
      <c r="C887" s="152" t="s">
        <v>228</v>
      </c>
      <c r="D887" s="153" t="s">
        <v>904</v>
      </c>
      <c r="E887" s="76" t="s">
        <v>356</v>
      </c>
      <c r="F887" s="76" t="s">
        <v>387</v>
      </c>
      <c r="G887" s="77">
        <v>100</v>
      </c>
      <c r="H887" s="50">
        <v>0</v>
      </c>
      <c r="I887" s="50">
        <v>0</v>
      </c>
      <c r="J887" s="50">
        <v>0</v>
      </c>
      <c r="K887" s="50">
        <f t="shared" ref="K887:K896" si="70">+H887+I887+J887</f>
        <v>0</v>
      </c>
      <c r="L887" s="52">
        <f t="shared" ref="L887:L896" si="71">+K887*G887</f>
        <v>0</v>
      </c>
    </row>
    <row r="888" spans="3:12" s="78" customFormat="1" ht="24.6" customHeight="1">
      <c r="C888" s="152" t="s">
        <v>229</v>
      </c>
      <c r="D888" s="153" t="s">
        <v>905</v>
      </c>
      <c r="E888" s="76" t="s">
        <v>356</v>
      </c>
      <c r="F888" s="76" t="s">
        <v>387</v>
      </c>
      <c r="G888" s="77">
        <v>200</v>
      </c>
      <c r="H888" s="50">
        <v>0</v>
      </c>
      <c r="I888" s="50">
        <v>0</v>
      </c>
      <c r="J888" s="50">
        <v>0</v>
      </c>
      <c r="K888" s="50">
        <f t="shared" si="70"/>
        <v>0</v>
      </c>
      <c r="L888" s="52">
        <f t="shared" si="71"/>
        <v>0</v>
      </c>
    </row>
    <row r="889" spans="3:12" s="78" customFormat="1" ht="24.6" customHeight="1">
      <c r="C889" s="152" t="s">
        <v>230</v>
      </c>
      <c r="D889" s="153" t="s">
        <v>906</v>
      </c>
      <c r="E889" s="76" t="s">
        <v>356</v>
      </c>
      <c r="F889" s="76" t="s">
        <v>387</v>
      </c>
      <c r="G889" s="77">
        <v>6222</v>
      </c>
      <c r="H889" s="50">
        <v>0</v>
      </c>
      <c r="I889" s="50">
        <v>0</v>
      </c>
      <c r="J889" s="50">
        <v>0</v>
      </c>
      <c r="K889" s="50">
        <f t="shared" si="70"/>
        <v>0</v>
      </c>
      <c r="L889" s="52">
        <f t="shared" si="71"/>
        <v>0</v>
      </c>
    </row>
    <row r="890" spans="3:12" s="78" customFormat="1" ht="24.6" customHeight="1">
      <c r="C890" s="152" t="s">
        <v>231</v>
      </c>
      <c r="D890" s="153" t="s">
        <v>907</v>
      </c>
      <c r="E890" s="76" t="s">
        <v>356</v>
      </c>
      <c r="F890" s="76" t="s">
        <v>387</v>
      </c>
      <c r="G890" s="77">
        <v>571</v>
      </c>
      <c r="H890" s="50">
        <v>0</v>
      </c>
      <c r="I890" s="50">
        <v>0</v>
      </c>
      <c r="J890" s="50">
        <v>0</v>
      </c>
      <c r="K890" s="50">
        <f t="shared" si="70"/>
        <v>0</v>
      </c>
      <c r="L890" s="52">
        <f t="shared" si="71"/>
        <v>0</v>
      </c>
    </row>
    <row r="891" spans="3:12" s="78" customFormat="1" ht="24.6" customHeight="1">
      <c r="C891" s="152" t="s">
        <v>232</v>
      </c>
      <c r="D891" s="153" t="s">
        <v>908</v>
      </c>
      <c r="E891" s="76" t="s">
        <v>356</v>
      </c>
      <c r="F891" s="76" t="s">
        <v>387</v>
      </c>
      <c r="G891" s="77">
        <v>364</v>
      </c>
      <c r="H891" s="50">
        <v>0</v>
      </c>
      <c r="I891" s="50">
        <v>0</v>
      </c>
      <c r="J891" s="50">
        <v>0</v>
      </c>
      <c r="K891" s="50">
        <f t="shared" si="70"/>
        <v>0</v>
      </c>
      <c r="L891" s="52">
        <f t="shared" si="71"/>
        <v>0</v>
      </c>
    </row>
    <row r="892" spans="3:12" s="78" customFormat="1" ht="24.6" customHeight="1">
      <c r="C892" s="152" t="s">
        <v>233</v>
      </c>
      <c r="D892" s="153" t="s">
        <v>909</v>
      </c>
      <c r="E892" s="76" t="s">
        <v>356</v>
      </c>
      <c r="F892" s="76" t="s">
        <v>387</v>
      </c>
      <c r="G892" s="77">
        <v>35</v>
      </c>
      <c r="H892" s="50">
        <v>0</v>
      </c>
      <c r="I892" s="50">
        <v>0</v>
      </c>
      <c r="J892" s="50">
        <v>0</v>
      </c>
      <c r="K892" s="50">
        <f t="shared" si="70"/>
        <v>0</v>
      </c>
      <c r="L892" s="52">
        <f t="shared" si="71"/>
        <v>0</v>
      </c>
    </row>
    <row r="893" spans="3:12" s="78" customFormat="1" ht="24.6" customHeight="1">
      <c r="C893" s="152" t="s">
        <v>234</v>
      </c>
      <c r="D893" s="153" t="s">
        <v>910</v>
      </c>
      <c r="E893" s="76" t="s">
        <v>356</v>
      </c>
      <c r="F893" s="76" t="s">
        <v>387</v>
      </c>
      <c r="G893" s="77">
        <v>1142</v>
      </c>
      <c r="H893" s="50">
        <v>0</v>
      </c>
      <c r="I893" s="50">
        <v>0</v>
      </c>
      <c r="J893" s="50">
        <v>0</v>
      </c>
      <c r="K893" s="50">
        <f t="shared" si="70"/>
        <v>0</v>
      </c>
      <c r="L893" s="52">
        <f t="shared" si="71"/>
        <v>0</v>
      </c>
    </row>
    <row r="894" spans="3:12" s="78" customFormat="1" ht="24.6" customHeight="1">
      <c r="C894" s="152" t="s">
        <v>235</v>
      </c>
      <c r="D894" s="153" t="s">
        <v>911</v>
      </c>
      <c r="E894" s="76" t="s">
        <v>356</v>
      </c>
      <c r="F894" s="76" t="s">
        <v>387</v>
      </c>
      <c r="G894" s="77">
        <v>200</v>
      </c>
      <c r="H894" s="50">
        <v>0</v>
      </c>
      <c r="I894" s="50">
        <v>0</v>
      </c>
      <c r="J894" s="50">
        <v>0</v>
      </c>
      <c r="K894" s="50">
        <f t="shared" si="70"/>
        <v>0</v>
      </c>
      <c r="L894" s="52">
        <f t="shared" si="71"/>
        <v>0</v>
      </c>
    </row>
    <row r="895" spans="3:12" s="78" customFormat="1" ht="24.6" customHeight="1">
      <c r="C895" s="152" t="s">
        <v>414</v>
      </c>
      <c r="D895" s="153" t="s">
        <v>912</v>
      </c>
      <c r="E895" s="76" t="s">
        <v>356</v>
      </c>
      <c r="F895" s="76" t="s">
        <v>387</v>
      </c>
      <c r="G895" s="77">
        <v>10</v>
      </c>
      <c r="H895" s="50">
        <v>0</v>
      </c>
      <c r="I895" s="50">
        <v>0</v>
      </c>
      <c r="J895" s="50">
        <v>0</v>
      </c>
      <c r="K895" s="50">
        <f t="shared" si="70"/>
        <v>0</v>
      </c>
      <c r="L895" s="52">
        <f t="shared" si="71"/>
        <v>0</v>
      </c>
    </row>
    <row r="896" spans="3:12" s="78" customFormat="1" ht="24.6" customHeight="1">
      <c r="C896" s="152" t="s">
        <v>415</v>
      </c>
      <c r="D896" s="153" t="s">
        <v>913</v>
      </c>
      <c r="E896" s="76" t="s">
        <v>356</v>
      </c>
      <c r="F896" s="76" t="s">
        <v>387</v>
      </c>
      <c r="G896" s="77">
        <v>10</v>
      </c>
      <c r="H896" s="50">
        <v>0</v>
      </c>
      <c r="I896" s="50">
        <v>0</v>
      </c>
      <c r="J896" s="50">
        <v>0</v>
      </c>
      <c r="K896" s="50">
        <f t="shared" si="70"/>
        <v>0</v>
      </c>
      <c r="L896" s="52">
        <f t="shared" si="71"/>
        <v>0</v>
      </c>
    </row>
    <row r="897" spans="3:12" s="78" customFormat="1" ht="24.6" customHeight="1">
      <c r="C897" s="152"/>
      <c r="D897" s="153"/>
      <c r="E897" s="76"/>
      <c r="F897" s="76"/>
      <c r="G897" s="77"/>
      <c r="H897" s="50"/>
      <c r="I897" s="54"/>
      <c r="J897" s="54"/>
      <c r="K897" s="92"/>
      <c r="L897" s="93"/>
    </row>
    <row r="898" spans="3:12" s="53" customFormat="1" ht="45" customHeight="1">
      <c r="C898" s="156" t="s">
        <v>336</v>
      </c>
      <c r="D898" s="151" t="s">
        <v>1013</v>
      </c>
      <c r="E898" s="79"/>
      <c r="F898" s="80"/>
      <c r="G898" s="81"/>
      <c r="H898" s="82"/>
      <c r="I898" s="83"/>
      <c r="J898" s="83"/>
      <c r="K898" s="83"/>
      <c r="L898" s="85"/>
    </row>
    <row r="899" spans="3:12" s="78" customFormat="1" ht="24.6" customHeight="1">
      <c r="C899" s="152" t="s">
        <v>342</v>
      </c>
      <c r="D899" s="153" t="s">
        <v>792</v>
      </c>
      <c r="E899" s="76" t="s">
        <v>356</v>
      </c>
      <c r="F899" s="76" t="s">
        <v>387</v>
      </c>
      <c r="G899" s="77">
        <v>200</v>
      </c>
      <c r="H899" s="50">
        <v>0</v>
      </c>
      <c r="I899" s="50">
        <v>0</v>
      </c>
      <c r="J899" s="50">
        <v>0</v>
      </c>
      <c r="K899" s="50">
        <f t="shared" ref="K899:K906" si="72">+H899+I899+J899</f>
        <v>0</v>
      </c>
      <c r="L899" s="52">
        <f t="shared" ref="L899:L906" si="73">+K899*G899</f>
        <v>0</v>
      </c>
    </row>
    <row r="900" spans="3:12" s="78" customFormat="1" ht="24.6" customHeight="1">
      <c r="C900" s="152" t="s">
        <v>341</v>
      </c>
      <c r="D900" s="153" t="s">
        <v>791</v>
      </c>
      <c r="E900" s="76" t="s">
        <v>356</v>
      </c>
      <c r="F900" s="76" t="s">
        <v>387</v>
      </c>
      <c r="G900" s="77">
        <v>182</v>
      </c>
      <c r="H900" s="50">
        <v>0</v>
      </c>
      <c r="I900" s="50">
        <v>0</v>
      </c>
      <c r="J900" s="50">
        <v>0</v>
      </c>
      <c r="K900" s="50">
        <f t="shared" si="72"/>
        <v>0</v>
      </c>
      <c r="L900" s="52">
        <f t="shared" si="73"/>
        <v>0</v>
      </c>
    </row>
    <row r="901" spans="3:12" s="78" customFormat="1" ht="24.6" customHeight="1">
      <c r="C901" s="152" t="s">
        <v>340</v>
      </c>
      <c r="D901" s="153" t="s">
        <v>790</v>
      </c>
      <c r="E901" s="76" t="s">
        <v>356</v>
      </c>
      <c r="F901" s="76" t="s">
        <v>387</v>
      </c>
      <c r="G901" s="77">
        <v>200</v>
      </c>
      <c r="H901" s="50">
        <v>0</v>
      </c>
      <c r="I901" s="50">
        <v>0</v>
      </c>
      <c r="J901" s="50">
        <v>0</v>
      </c>
      <c r="K901" s="50">
        <f t="shared" si="72"/>
        <v>0</v>
      </c>
      <c r="L901" s="52">
        <f t="shared" si="73"/>
        <v>0</v>
      </c>
    </row>
    <row r="902" spans="3:12" s="78" customFormat="1" ht="24.6" customHeight="1">
      <c r="C902" s="152" t="s">
        <v>342</v>
      </c>
      <c r="D902" s="153" t="s">
        <v>793</v>
      </c>
      <c r="E902" s="76" t="s">
        <v>356</v>
      </c>
      <c r="F902" s="76" t="s">
        <v>387</v>
      </c>
      <c r="G902" s="77">
        <v>1688</v>
      </c>
      <c r="H902" s="50">
        <v>0</v>
      </c>
      <c r="I902" s="50">
        <v>0</v>
      </c>
      <c r="J902" s="50">
        <v>0</v>
      </c>
      <c r="K902" s="50">
        <f t="shared" si="72"/>
        <v>0</v>
      </c>
      <c r="L902" s="52">
        <f t="shared" si="73"/>
        <v>0</v>
      </c>
    </row>
    <row r="903" spans="3:12" s="78" customFormat="1" ht="24.6" customHeight="1">
      <c r="C903" s="152" t="s">
        <v>343</v>
      </c>
      <c r="D903" s="153" t="s">
        <v>794</v>
      </c>
      <c r="E903" s="76" t="s">
        <v>356</v>
      </c>
      <c r="F903" s="76" t="s">
        <v>387</v>
      </c>
      <c r="G903" s="77">
        <v>1022</v>
      </c>
      <c r="H903" s="50">
        <v>0</v>
      </c>
      <c r="I903" s="50">
        <v>0</v>
      </c>
      <c r="J903" s="50">
        <v>0</v>
      </c>
      <c r="K903" s="50">
        <f t="shared" si="72"/>
        <v>0</v>
      </c>
      <c r="L903" s="52">
        <f t="shared" si="73"/>
        <v>0</v>
      </c>
    </row>
    <row r="904" spans="3:12" s="78" customFormat="1" ht="24.6" customHeight="1">
      <c r="C904" s="152" t="s">
        <v>337</v>
      </c>
      <c r="D904" s="153" t="s">
        <v>788</v>
      </c>
      <c r="E904" s="76" t="s">
        <v>356</v>
      </c>
      <c r="F904" s="76" t="s">
        <v>387</v>
      </c>
      <c r="G904" s="77">
        <v>320</v>
      </c>
      <c r="H904" s="50">
        <v>0</v>
      </c>
      <c r="I904" s="50">
        <v>0</v>
      </c>
      <c r="J904" s="50">
        <v>0</v>
      </c>
      <c r="K904" s="50">
        <f t="shared" si="72"/>
        <v>0</v>
      </c>
      <c r="L904" s="52">
        <f t="shared" si="73"/>
        <v>0</v>
      </c>
    </row>
    <row r="905" spans="3:12" s="78" customFormat="1" ht="39" customHeight="1">
      <c r="C905" s="152" t="s">
        <v>338</v>
      </c>
      <c r="D905" s="153" t="s">
        <v>789</v>
      </c>
      <c r="E905" s="76" t="s">
        <v>356</v>
      </c>
      <c r="F905" s="76" t="s">
        <v>387</v>
      </c>
      <c r="G905" s="77">
        <v>10</v>
      </c>
      <c r="H905" s="50">
        <v>0</v>
      </c>
      <c r="I905" s="50">
        <v>0</v>
      </c>
      <c r="J905" s="50">
        <v>0</v>
      </c>
      <c r="K905" s="50">
        <f t="shared" si="72"/>
        <v>0</v>
      </c>
      <c r="L905" s="52">
        <f t="shared" si="73"/>
        <v>0</v>
      </c>
    </row>
    <row r="906" spans="3:12" s="78" customFormat="1" ht="39" customHeight="1">
      <c r="C906" s="152" t="s">
        <v>339</v>
      </c>
      <c r="D906" s="153" t="s">
        <v>583</v>
      </c>
      <c r="E906" s="76" t="s">
        <v>356</v>
      </c>
      <c r="F906" s="76" t="s">
        <v>387</v>
      </c>
      <c r="G906" s="77">
        <v>1700</v>
      </c>
      <c r="H906" s="50">
        <v>0</v>
      </c>
      <c r="I906" s="50">
        <v>0</v>
      </c>
      <c r="J906" s="50">
        <v>0</v>
      </c>
      <c r="K906" s="50">
        <f t="shared" si="72"/>
        <v>0</v>
      </c>
      <c r="L906" s="52">
        <f t="shared" si="73"/>
        <v>0</v>
      </c>
    </row>
    <row r="907" spans="3:12" s="78" customFormat="1" ht="39" customHeight="1">
      <c r="C907" s="152"/>
      <c r="D907" s="153"/>
      <c r="E907" s="76"/>
      <c r="F907" s="76"/>
      <c r="G907" s="77"/>
      <c r="H907" s="50"/>
      <c r="I907" s="50"/>
      <c r="J907" s="50"/>
      <c r="K907" s="50"/>
      <c r="L907" s="52"/>
    </row>
    <row r="908" spans="3:12" s="35" customFormat="1" ht="39.950000000000003" customHeight="1">
      <c r="C908" s="62"/>
      <c r="D908" s="63" t="s">
        <v>856</v>
      </c>
      <c r="E908" s="64"/>
      <c r="F908" s="65"/>
      <c r="G908" s="66"/>
      <c r="H908" s="67">
        <f>SUMPRODUCT($G854:$G906,H854:H906)</f>
        <v>0</v>
      </c>
      <c r="I908" s="67">
        <f>SUMPRODUCT($G854:$G906,I854:I906)</f>
        <v>0</v>
      </c>
      <c r="J908" s="67">
        <f>SUMPRODUCT($G854:$G906,J854:J906)</f>
        <v>0</v>
      </c>
      <c r="K908" s="68"/>
      <c r="L908" s="69">
        <f>SUM(L854:L906)</f>
        <v>0</v>
      </c>
    </row>
    <row r="909" spans="3:12" s="35" customFormat="1">
      <c r="C909" s="70"/>
      <c r="D909" s="57"/>
      <c r="E909" s="58"/>
      <c r="F909" s="58"/>
      <c r="G909" s="55"/>
      <c r="H909" s="51"/>
      <c r="I909" s="56"/>
      <c r="J909" s="56"/>
      <c r="K909" s="51"/>
      <c r="L909" s="59"/>
    </row>
    <row r="910" spans="3:12" s="35" customFormat="1" ht="30" customHeight="1">
      <c r="C910" s="25" t="s">
        <v>7</v>
      </c>
      <c r="D910" s="26" t="s">
        <v>857</v>
      </c>
      <c r="E910" s="27"/>
      <c r="F910" s="28"/>
      <c r="G910" s="29"/>
      <c r="H910" s="30"/>
      <c r="I910" s="31"/>
      <c r="J910" s="31"/>
      <c r="K910" s="32"/>
      <c r="L910" s="33"/>
    </row>
    <row r="911" spans="3:12" s="35" customFormat="1" ht="40.9" customHeight="1">
      <c r="C911" s="25" t="s">
        <v>41</v>
      </c>
      <c r="D911" s="26" t="s">
        <v>42</v>
      </c>
      <c r="E911" s="27"/>
      <c r="F911" s="28"/>
      <c r="G911" s="29"/>
      <c r="H911" s="30"/>
      <c r="I911" s="31"/>
      <c r="J911" s="31"/>
      <c r="K911" s="32"/>
      <c r="L911" s="33"/>
    </row>
    <row r="912" spans="3:12" s="35" customFormat="1" ht="99.6" customHeight="1">
      <c r="C912" s="25"/>
      <c r="D912" s="26" t="s">
        <v>2175</v>
      </c>
      <c r="E912" s="27"/>
      <c r="F912" s="28"/>
      <c r="G912" s="29"/>
      <c r="H912" s="30"/>
      <c r="I912" s="31"/>
      <c r="J912" s="31"/>
      <c r="K912" s="32"/>
      <c r="L912" s="33"/>
    </row>
    <row r="913" spans="3:12" s="78" customFormat="1" ht="35.450000000000003" customHeight="1">
      <c r="C913" s="157" t="s">
        <v>43</v>
      </c>
      <c r="D913" s="158" t="s">
        <v>832</v>
      </c>
      <c r="E913" s="76" t="s">
        <v>357</v>
      </c>
      <c r="F913" s="76" t="s">
        <v>387</v>
      </c>
      <c r="G913" s="77">
        <v>2981</v>
      </c>
      <c r="H913" s="50">
        <v>0</v>
      </c>
      <c r="I913" s="50">
        <v>0</v>
      </c>
      <c r="J913" s="50">
        <v>0</v>
      </c>
      <c r="K913" s="50">
        <f>+H913+I913+J913</f>
        <v>0</v>
      </c>
      <c r="L913" s="52">
        <f>+K913*G913</f>
        <v>0</v>
      </c>
    </row>
    <row r="914" spans="3:12" s="78" customFormat="1" ht="35.450000000000003" customHeight="1">
      <c r="C914" s="157" t="s">
        <v>44</v>
      </c>
      <c r="D914" s="158" t="s">
        <v>738</v>
      </c>
      <c r="E914" s="76" t="s">
        <v>357</v>
      </c>
      <c r="F914" s="76" t="s">
        <v>387</v>
      </c>
      <c r="G914" s="77">
        <v>1920</v>
      </c>
      <c r="H914" s="50">
        <v>0</v>
      </c>
      <c r="I914" s="50">
        <v>0</v>
      </c>
      <c r="J914" s="50">
        <v>0</v>
      </c>
      <c r="K914" s="50">
        <f t="shared" ref="K914:K971" si="74">+H914+I914+J914</f>
        <v>0</v>
      </c>
      <c r="L914" s="52">
        <f t="shared" ref="L914:L971" si="75">+K914*G914</f>
        <v>0</v>
      </c>
    </row>
    <row r="915" spans="3:12" s="78" customFormat="1" ht="35.450000000000003" customHeight="1">
      <c r="C915" s="157" t="s">
        <v>45</v>
      </c>
      <c r="D915" s="158" t="s">
        <v>977</v>
      </c>
      <c r="E915" s="76" t="s">
        <v>357</v>
      </c>
      <c r="F915" s="76" t="s">
        <v>387</v>
      </c>
      <c r="G915" s="77">
        <v>478</v>
      </c>
      <c r="H915" s="50">
        <v>0</v>
      </c>
      <c r="I915" s="50">
        <v>0</v>
      </c>
      <c r="J915" s="50">
        <v>0</v>
      </c>
      <c r="K915" s="50">
        <f t="shared" si="74"/>
        <v>0</v>
      </c>
      <c r="L915" s="52">
        <f t="shared" si="75"/>
        <v>0</v>
      </c>
    </row>
    <row r="916" spans="3:12" s="78" customFormat="1" ht="35.450000000000003" customHeight="1">
      <c r="C916" s="157" t="s">
        <v>46</v>
      </c>
      <c r="D916" s="158" t="s">
        <v>976</v>
      </c>
      <c r="E916" s="76" t="s">
        <v>357</v>
      </c>
      <c r="F916" s="76" t="s">
        <v>387</v>
      </c>
      <c r="G916" s="77">
        <v>1231</v>
      </c>
      <c r="H916" s="50">
        <v>0</v>
      </c>
      <c r="I916" s="50">
        <v>0</v>
      </c>
      <c r="J916" s="50">
        <v>0</v>
      </c>
      <c r="K916" s="50">
        <f t="shared" si="74"/>
        <v>0</v>
      </c>
      <c r="L916" s="52">
        <f t="shared" si="75"/>
        <v>0</v>
      </c>
    </row>
    <row r="917" spans="3:12" s="78" customFormat="1" ht="35.450000000000003" customHeight="1">
      <c r="C917" s="157" t="s">
        <v>176</v>
      </c>
      <c r="D917" s="158" t="s">
        <v>739</v>
      </c>
      <c r="E917" s="76" t="s">
        <v>357</v>
      </c>
      <c r="F917" s="76" t="s">
        <v>387</v>
      </c>
      <c r="G917" s="77">
        <v>123</v>
      </c>
      <c r="H917" s="50">
        <v>0</v>
      </c>
      <c r="I917" s="50">
        <v>0</v>
      </c>
      <c r="J917" s="50">
        <v>0</v>
      </c>
      <c r="K917" s="50">
        <f t="shared" si="74"/>
        <v>0</v>
      </c>
      <c r="L917" s="52">
        <f t="shared" si="75"/>
        <v>0</v>
      </c>
    </row>
    <row r="918" spans="3:12" s="78" customFormat="1" ht="35.450000000000003" customHeight="1">
      <c r="C918" s="157" t="s">
        <v>177</v>
      </c>
      <c r="D918" s="158" t="s">
        <v>740</v>
      </c>
      <c r="E918" s="76" t="s">
        <v>357</v>
      </c>
      <c r="F918" s="76" t="s">
        <v>387</v>
      </c>
      <c r="G918" s="77">
        <v>283</v>
      </c>
      <c r="H918" s="50">
        <v>0</v>
      </c>
      <c r="I918" s="50">
        <v>0</v>
      </c>
      <c r="J918" s="50">
        <v>0</v>
      </c>
      <c r="K918" s="50">
        <f t="shared" si="74"/>
        <v>0</v>
      </c>
      <c r="L918" s="52">
        <f t="shared" si="75"/>
        <v>0</v>
      </c>
    </row>
    <row r="919" spans="3:12" s="78" customFormat="1" ht="35.450000000000003" customHeight="1">
      <c r="C919" s="157" t="s">
        <v>178</v>
      </c>
      <c r="D919" s="158" t="s">
        <v>749</v>
      </c>
      <c r="E919" s="76" t="s">
        <v>357</v>
      </c>
      <c r="F919" s="76" t="s">
        <v>387</v>
      </c>
      <c r="G919" s="77">
        <v>220</v>
      </c>
      <c r="H919" s="50">
        <v>0</v>
      </c>
      <c r="I919" s="50">
        <v>0</v>
      </c>
      <c r="J919" s="50">
        <v>0</v>
      </c>
      <c r="K919" s="50">
        <f t="shared" si="74"/>
        <v>0</v>
      </c>
      <c r="L919" s="52">
        <f t="shared" si="75"/>
        <v>0</v>
      </c>
    </row>
    <row r="920" spans="3:12" s="78" customFormat="1" ht="35.450000000000003" customHeight="1">
      <c r="C920" s="157" t="s">
        <v>148</v>
      </c>
      <c r="D920" s="158" t="s">
        <v>741</v>
      </c>
      <c r="E920" s="76" t="s">
        <v>357</v>
      </c>
      <c r="F920" s="76" t="s">
        <v>387</v>
      </c>
      <c r="G920" s="77">
        <v>24</v>
      </c>
      <c r="H920" s="50">
        <v>0</v>
      </c>
      <c r="I920" s="50">
        <v>0</v>
      </c>
      <c r="J920" s="50">
        <v>0</v>
      </c>
      <c r="K920" s="50">
        <f t="shared" si="74"/>
        <v>0</v>
      </c>
      <c r="L920" s="52">
        <f t="shared" si="75"/>
        <v>0</v>
      </c>
    </row>
    <row r="921" spans="3:12" s="78" customFormat="1" ht="35.450000000000003" customHeight="1">
      <c r="C921" s="157" t="s">
        <v>151</v>
      </c>
      <c r="D921" s="158" t="s">
        <v>742</v>
      </c>
      <c r="E921" s="76" t="s">
        <v>357</v>
      </c>
      <c r="F921" s="76" t="s">
        <v>387</v>
      </c>
      <c r="G921" s="77">
        <v>3</v>
      </c>
      <c r="H921" s="50">
        <v>0</v>
      </c>
      <c r="I921" s="50">
        <v>0</v>
      </c>
      <c r="J921" s="50">
        <v>0</v>
      </c>
      <c r="K921" s="50">
        <f t="shared" si="74"/>
        <v>0</v>
      </c>
      <c r="L921" s="52">
        <f t="shared" si="75"/>
        <v>0</v>
      </c>
    </row>
    <row r="922" spans="3:12" s="78" customFormat="1" ht="35.450000000000003" customHeight="1">
      <c r="C922" s="157" t="s">
        <v>236</v>
      </c>
      <c r="D922" s="158" t="s">
        <v>743</v>
      </c>
      <c r="E922" s="76" t="s">
        <v>357</v>
      </c>
      <c r="F922" s="76" t="s">
        <v>387</v>
      </c>
      <c r="G922" s="77">
        <v>1168</v>
      </c>
      <c r="H922" s="50">
        <v>0</v>
      </c>
      <c r="I922" s="50">
        <v>0</v>
      </c>
      <c r="J922" s="50">
        <v>0</v>
      </c>
      <c r="K922" s="50">
        <f t="shared" si="74"/>
        <v>0</v>
      </c>
      <c r="L922" s="52">
        <f t="shared" si="75"/>
        <v>0</v>
      </c>
    </row>
    <row r="923" spans="3:12" s="78" customFormat="1" ht="35.450000000000003" customHeight="1">
      <c r="C923" s="157" t="s">
        <v>237</v>
      </c>
      <c r="D923" s="158" t="s">
        <v>744</v>
      </c>
      <c r="E923" s="76" t="s">
        <v>357</v>
      </c>
      <c r="F923" s="76" t="s">
        <v>387</v>
      </c>
      <c r="G923" s="77">
        <v>140</v>
      </c>
      <c r="H923" s="50">
        <v>0</v>
      </c>
      <c r="I923" s="50">
        <v>0</v>
      </c>
      <c r="J923" s="50">
        <v>0</v>
      </c>
      <c r="K923" s="50">
        <f t="shared" si="74"/>
        <v>0</v>
      </c>
      <c r="L923" s="52">
        <f t="shared" si="75"/>
        <v>0</v>
      </c>
    </row>
    <row r="924" spans="3:12" s="78" customFormat="1" ht="35.450000000000003" customHeight="1">
      <c r="C924" s="157" t="s">
        <v>238</v>
      </c>
      <c r="D924" s="158" t="s">
        <v>745</v>
      </c>
      <c r="E924" s="76" t="s">
        <v>357</v>
      </c>
      <c r="F924" s="76" t="s">
        <v>387</v>
      </c>
      <c r="G924" s="77">
        <v>30</v>
      </c>
      <c r="H924" s="50">
        <v>0</v>
      </c>
      <c r="I924" s="50">
        <v>0</v>
      </c>
      <c r="J924" s="50">
        <v>0</v>
      </c>
      <c r="K924" s="50">
        <f t="shared" si="74"/>
        <v>0</v>
      </c>
      <c r="L924" s="52">
        <f t="shared" si="75"/>
        <v>0</v>
      </c>
    </row>
    <row r="925" spans="3:12" s="78" customFormat="1" ht="35.450000000000003" customHeight="1">
      <c r="C925" s="157" t="s">
        <v>239</v>
      </c>
      <c r="D925" s="158" t="s">
        <v>746</v>
      </c>
      <c r="E925" s="76" t="s">
        <v>357</v>
      </c>
      <c r="F925" s="76" t="s">
        <v>387</v>
      </c>
      <c r="G925" s="77">
        <f>30+108</f>
        <v>138</v>
      </c>
      <c r="H925" s="50">
        <v>0</v>
      </c>
      <c r="I925" s="50">
        <v>0</v>
      </c>
      <c r="J925" s="50">
        <v>0</v>
      </c>
      <c r="K925" s="50">
        <f t="shared" si="74"/>
        <v>0</v>
      </c>
      <c r="L925" s="52">
        <f t="shared" si="75"/>
        <v>0</v>
      </c>
    </row>
    <row r="926" spans="3:12" s="78" customFormat="1" ht="35.450000000000003" customHeight="1">
      <c r="C926" s="157" t="s">
        <v>240</v>
      </c>
      <c r="D926" s="158" t="s">
        <v>747</v>
      </c>
      <c r="E926" s="76" t="s">
        <v>357</v>
      </c>
      <c r="F926" s="76" t="s">
        <v>387</v>
      </c>
      <c r="G926" s="77">
        <v>45</v>
      </c>
      <c r="H926" s="50">
        <v>0</v>
      </c>
      <c r="I926" s="50">
        <v>0</v>
      </c>
      <c r="J926" s="50">
        <v>0</v>
      </c>
      <c r="K926" s="50">
        <f t="shared" si="74"/>
        <v>0</v>
      </c>
      <c r="L926" s="52">
        <f t="shared" si="75"/>
        <v>0</v>
      </c>
    </row>
    <row r="927" spans="3:12" s="78" customFormat="1" ht="35.450000000000003" customHeight="1">
      <c r="C927" s="157" t="s">
        <v>241</v>
      </c>
      <c r="D927" s="158" t="s">
        <v>748</v>
      </c>
      <c r="E927" s="76" t="s">
        <v>357</v>
      </c>
      <c r="F927" s="76" t="s">
        <v>387</v>
      </c>
      <c r="G927" s="77">
        <f>18+88</f>
        <v>106</v>
      </c>
      <c r="H927" s="50">
        <v>0</v>
      </c>
      <c r="I927" s="50">
        <v>0</v>
      </c>
      <c r="J927" s="50">
        <v>0</v>
      </c>
      <c r="K927" s="50">
        <f t="shared" si="74"/>
        <v>0</v>
      </c>
      <c r="L927" s="52">
        <f t="shared" si="75"/>
        <v>0</v>
      </c>
    </row>
    <row r="928" spans="3:12" s="78" customFormat="1" ht="35.450000000000003" customHeight="1">
      <c r="C928" s="157" t="s">
        <v>242</v>
      </c>
      <c r="D928" s="153" t="s">
        <v>978</v>
      </c>
      <c r="E928" s="76" t="s">
        <v>357</v>
      </c>
      <c r="F928" s="76" t="s">
        <v>378</v>
      </c>
      <c r="G928" s="77">
        <v>278</v>
      </c>
      <c r="H928" s="50">
        <v>0</v>
      </c>
      <c r="I928" s="50">
        <v>0</v>
      </c>
      <c r="J928" s="50">
        <v>0</v>
      </c>
      <c r="K928" s="50">
        <f t="shared" si="74"/>
        <v>0</v>
      </c>
      <c r="L928" s="52">
        <f t="shared" si="75"/>
        <v>0</v>
      </c>
    </row>
    <row r="929" spans="3:12" s="78" customFormat="1" ht="35.450000000000003" customHeight="1">
      <c r="C929" s="157" t="s">
        <v>432</v>
      </c>
      <c r="D929" s="153" t="s">
        <v>461</v>
      </c>
      <c r="E929" s="76" t="s">
        <v>357</v>
      </c>
      <c r="F929" s="76" t="s">
        <v>378</v>
      </c>
      <c r="G929" s="77">
        <v>280</v>
      </c>
      <c r="H929" s="50">
        <v>0</v>
      </c>
      <c r="I929" s="50">
        <v>0</v>
      </c>
      <c r="J929" s="50">
        <v>0</v>
      </c>
      <c r="K929" s="50">
        <f t="shared" si="74"/>
        <v>0</v>
      </c>
      <c r="L929" s="52">
        <f t="shared" si="75"/>
        <v>0</v>
      </c>
    </row>
    <row r="930" spans="3:12" s="78" customFormat="1" ht="35.450000000000003" customHeight="1">
      <c r="C930" s="157" t="s">
        <v>434</v>
      </c>
      <c r="D930" s="153" t="s">
        <v>462</v>
      </c>
      <c r="E930" s="76" t="s">
        <v>357</v>
      </c>
      <c r="F930" s="76" t="s">
        <v>378</v>
      </c>
      <c r="G930" s="77">
        <v>48</v>
      </c>
      <c r="H930" s="50">
        <v>0</v>
      </c>
      <c r="I930" s="50">
        <v>0</v>
      </c>
      <c r="J930" s="50">
        <v>0</v>
      </c>
      <c r="K930" s="50">
        <f t="shared" si="74"/>
        <v>0</v>
      </c>
      <c r="L930" s="52">
        <f t="shared" si="75"/>
        <v>0</v>
      </c>
    </row>
    <row r="931" spans="3:12" s="78" customFormat="1" ht="35.450000000000003" customHeight="1">
      <c r="C931" s="157" t="s">
        <v>436</v>
      </c>
      <c r="D931" s="153" t="s">
        <v>979</v>
      </c>
      <c r="E931" s="76" t="s">
        <v>357</v>
      </c>
      <c r="F931" s="76" t="s">
        <v>378</v>
      </c>
      <c r="G931" s="77">
        <v>14</v>
      </c>
      <c r="H931" s="50">
        <v>0</v>
      </c>
      <c r="I931" s="50">
        <v>0</v>
      </c>
      <c r="J931" s="50">
        <v>0</v>
      </c>
      <c r="K931" s="50">
        <f t="shared" si="74"/>
        <v>0</v>
      </c>
      <c r="L931" s="52">
        <f t="shared" si="75"/>
        <v>0</v>
      </c>
    </row>
    <row r="932" spans="3:12" s="78" customFormat="1" ht="35.450000000000003" customHeight="1">
      <c r="C932" s="157" t="s">
        <v>438</v>
      </c>
      <c r="D932" s="153" t="s">
        <v>463</v>
      </c>
      <c r="E932" s="76" t="s">
        <v>357</v>
      </c>
      <c r="F932" s="76" t="s">
        <v>378</v>
      </c>
      <c r="G932" s="77">
        <v>12</v>
      </c>
      <c r="H932" s="50">
        <v>0</v>
      </c>
      <c r="I932" s="50">
        <v>0</v>
      </c>
      <c r="J932" s="50">
        <v>0</v>
      </c>
      <c r="K932" s="50">
        <f t="shared" si="74"/>
        <v>0</v>
      </c>
      <c r="L932" s="52">
        <f t="shared" si="75"/>
        <v>0</v>
      </c>
    </row>
    <row r="933" spans="3:12" s="78" customFormat="1" ht="35.450000000000003" customHeight="1">
      <c r="C933" s="157" t="s">
        <v>584</v>
      </c>
      <c r="D933" s="153" t="s">
        <v>464</v>
      </c>
      <c r="E933" s="76" t="s">
        <v>357</v>
      </c>
      <c r="F933" s="76" t="s">
        <v>378</v>
      </c>
      <c r="G933" s="77">
        <v>2</v>
      </c>
      <c r="H933" s="50">
        <v>0</v>
      </c>
      <c r="I933" s="50">
        <v>0</v>
      </c>
      <c r="J933" s="50">
        <v>0</v>
      </c>
      <c r="K933" s="50">
        <f t="shared" si="74"/>
        <v>0</v>
      </c>
      <c r="L933" s="52">
        <f t="shared" si="75"/>
        <v>0</v>
      </c>
    </row>
    <row r="934" spans="3:12" s="78" customFormat="1" ht="35.450000000000003" customHeight="1">
      <c r="C934" s="157" t="s">
        <v>585</v>
      </c>
      <c r="D934" s="153" t="s">
        <v>465</v>
      </c>
      <c r="E934" s="76" t="s">
        <v>357</v>
      </c>
      <c r="F934" s="76" t="s">
        <v>378</v>
      </c>
      <c r="G934" s="77">
        <v>9</v>
      </c>
      <c r="H934" s="50">
        <v>0</v>
      </c>
      <c r="I934" s="50">
        <v>0</v>
      </c>
      <c r="J934" s="50">
        <v>0</v>
      </c>
      <c r="K934" s="50">
        <f t="shared" si="74"/>
        <v>0</v>
      </c>
      <c r="L934" s="52">
        <f t="shared" si="75"/>
        <v>0</v>
      </c>
    </row>
    <row r="935" spans="3:12" s="78" customFormat="1" ht="35.450000000000003" customHeight="1">
      <c r="C935" s="157" t="s">
        <v>586</v>
      </c>
      <c r="D935" s="153" t="s">
        <v>466</v>
      </c>
      <c r="E935" s="76" t="s">
        <v>357</v>
      </c>
      <c r="F935" s="76" t="s">
        <v>387</v>
      </c>
      <c r="G935" s="77">
        <v>1386</v>
      </c>
      <c r="H935" s="50">
        <v>0</v>
      </c>
      <c r="I935" s="50">
        <v>0</v>
      </c>
      <c r="J935" s="50">
        <v>0</v>
      </c>
      <c r="K935" s="50">
        <f t="shared" si="74"/>
        <v>0</v>
      </c>
      <c r="L935" s="52">
        <f t="shared" si="75"/>
        <v>0</v>
      </c>
    </row>
    <row r="936" spans="3:12" s="78" customFormat="1" ht="35.450000000000003" customHeight="1">
      <c r="C936" s="157" t="s">
        <v>587</v>
      </c>
      <c r="D936" s="153" t="s">
        <v>980</v>
      </c>
      <c r="E936" s="76" t="s">
        <v>357</v>
      </c>
      <c r="F936" s="76" t="s">
        <v>378</v>
      </c>
      <c r="G936" s="77">
        <v>133</v>
      </c>
      <c r="H936" s="50">
        <v>0</v>
      </c>
      <c r="I936" s="50">
        <v>0</v>
      </c>
      <c r="J936" s="50">
        <v>0</v>
      </c>
      <c r="K936" s="50">
        <f t="shared" si="74"/>
        <v>0</v>
      </c>
      <c r="L936" s="52">
        <f t="shared" si="75"/>
        <v>0</v>
      </c>
    </row>
    <row r="937" spans="3:12" s="78" customFormat="1" ht="35.450000000000003" customHeight="1">
      <c r="C937" s="157" t="s">
        <v>588</v>
      </c>
      <c r="D937" s="153" t="s">
        <v>981</v>
      </c>
      <c r="E937" s="76" t="s">
        <v>357</v>
      </c>
      <c r="F937" s="76" t="s">
        <v>378</v>
      </c>
      <c r="G937" s="77">
        <v>1</v>
      </c>
      <c r="H937" s="50">
        <v>0</v>
      </c>
      <c r="I937" s="50">
        <v>0</v>
      </c>
      <c r="J937" s="50">
        <v>0</v>
      </c>
      <c r="K937" s="50">
        <f t="shared" si="74"/>
        <v>0</v>
      </c>
      <c r="L937" s="52">
        <f t="shared" si="75"/>
        <v>0</v>
      </c>
    </row>
    <row r="938" spans="3:12" s="78" customFormat="1" ht="35.450000000000003" customHeight="1">
      <c r="C938" s="157" t="s">
        <v>589</v>
      </c>
      <c r="D938" s="153" t="s">
        <v>982</v>
      </c>
      <c r="E938" s="76" t="s">
        <v>357</v>
      </c>
      <c r="F938" s="76" t="s">
        <v>378</v>
      </c>
      <c r="G938" s="77">
        <v>163</v>
      </c>
      <c r="H938" s="50">
        <v>0</v>
      </c>
      <c r="I938" s="50">
        <v>0</v>
      </c>
      <c r="J938" s="50">
        <v>0</v>
      </c>
      <c r="K938" s="50">
        <f t="shared" si="74"/>
        <v>0</v>
      </c>
      <c r="L938" s="52">
        <f t="shared" si="75"/>
        <v>0</v>
      </c>
    </row>
    <row r="939" spans="3:12" s="78" customFormat="1" ht="35.450000000000003" customHeight="1">
      <c r="C939" s="157" t="s">
        <v>590</v>
      </c>
      <c r="D939" s="153" t="s">
        <v>983</v>
      </c>
      <c r="E939" s="76" t="s">
        <v>357</v>
      </c>
      <c r="F939" s="76" t="s">
        <v>378</v>
      </c>
      <c r="G939" s="77">
        <v>2</v>
      </c>
      <c r="H939" s="50">
        <v>0</v>
      </c>
      <c r="I939" s="50">
        <v>0</v>
      </c>
      <c r="J939" s="50">
        <v>0</v>
      </c>
      <c r="K939" s="50">
        <f t="shared" si="74"/>
        <v>0</v>
      </c>
      <c r="L939" s="52">
        <f t="shared" si="75"/>
        <v>0</v>
      </c>
    </row>
    <row r="940" spans="3:12" s="78" customFormat="1" ht="35.450000000000003" customHeight="1">
      <c r="C940" s="157" t="s">
        <v>591</v>
      </c>
      <c r="D940" s="153" t="s">
        <v>984</v>
      </c>
      <c r="E940" s="76" t="s">
        <v>357</v>
      </c>
      <c r="F940" s="76" t="s">
        <v>378</v>
      </c>
      <c r="G940" s="77">
        <v>1</v>
      </c>
      <c r="H940" s="50">
        <v>0</v>
      </c>
      <c r="I940" s="50">
        <v>0</v>
      </c>
      <c r="J940" s="50">
        <v>0</v>
      </c>
      <c r="K940" s="50">
        <f t="shared" si="74"/>
        <v>0</v>
      </c>
      <c r="L940" s="52">
        <f t="shared" si="75"/>
        <v>0</v>
      </c>
    </row>
    <row r="941" spans="3:12" s="78" customFormat="1" ht="35.450000000000003" customHeight="1">
      <c r="C941" s="157" t="s">
        <v>592</v>
      </c>
      <c r="D941" s="153" t="s">
        <v>985</v>
      </c>
      <c r="E941" s="76" t="s">
        <v>357</v>
      </c>
      <c r="F941" s="76" t="s">
        <v>378</v>
      </c>
      <c r="G941" s="77">
        <v>1</v>
      </c>
      <c r="H941" s="50">
        <v>0</v>
      </c>
      <c r="I941" s="50">
        <v>0</v>
      </c>
      <c r="J941" s="50">
        <v>0</v>
      </c>
      <c r="K941" s="50">
        <f t="shared" si="74"/>
        <v>0</v>
      </c>
      <c r="L941" s="52">
        <f t="shared" si="75"/>
        <v>0</v>
      </c>
    </row>
    <row r="942" spans="3:12" s="78" customFormat="1" ht="35.450000000000003" customHeight="1">
      <c r="C942" s="157" t="s">
        <v>593</v>
      </c>
      <c r="D942" s="153" t="s">
        <v>986</v>
      </c>
      <c r="E942" s="76" t="s">
        <v>357</v>
      </c>
      <c r="F942" s="76" t="s">
        <v>378</v>
      </c>
      <c r="G942" s="77">
        <v>2</v>
      </c>
      <c r="H942" s="50">
        <v>0</v>
      </c>
      <c r="I942" s="50">
        <v>0</v>
      </c>
      <c r="J942" s="50">
        <v>0</v>
      </c>
      <c r="K942" s="50">
        <f t="shared" si="74"/>
        <v>0</v>
      </c>
      <c r="L942" s="52">
        <f t="shared" si="75"/>
        <v>0</v>
      </c>
    </row>
    <row r="943" spans="3:12" s="78" customFormat="1" ht="35.450000000000003" customHeight="1">
      <c r="C943" s="157" t="s">
        <v>594</v>
      </c>
      <c r="D943" s="153" t="s">
        <v>987</v>
      </c>
      <c r="E943" s="76" t="s">
        <v>357</v>
      </c>
      <c r="F943" s="76" t="s">
        <v>378</v>
      </c>
      <c r="G943" s="77">
        <v>11</v>
      </c>
      <c r="H943" s="50">
        <v>0</v>
      </c>
      <c r="I943" s="50">
        <v>0</v>
      </c>
      <c r="J943" s="50">
        <v>0</v>
      </c>
      <c r="K943" s="50">
        <f t="shared" si="74"/>
        <v>0</v>
      </c>
      <c r="L943" s="52">
        <f t="shared" si="75"/>
        <v>0</v>
      </c>
    </row>
    <row r="944" spans="3:12" s="78" customFormat="1" ht="35.450000000000003" customHeight="1">
      <c r="C944" s="157" t="s">
        <v>595</v>
      </c>
      <c r="D944" s="153" t="s">
        <v>988</v>
      </c>
      <c r="E944" s="76" t="s">
        <v>357</v>
      </c>
      <c r="F944" s="76" t="s">
        <v>378</v>
      </c>
      <c r="G944" s="77">
        <v>7</v>
      </c>
      <c r="H944" s="50">
        <v>0</v>
      </c>
      <c r="I944" s="50">
        <v>0</v>
      </c>
      <c r="J944" s="50">
        <v>0</v>
      </c>
      <c r="K944" s="50">
        <f t="shared" si="74"/>
        <v>0</v>
      </c>
      <c r="L944" s="52">
        <f t="shared" si="75"/>
        <v>0</v>
      </c>
    </row>
    <row r="945" spans="3:12" s="78" customFormat="1" ht="35.450000000000003" customHeight="1">
      <c r="C945" s="157" t="s">
        <v>596</v>
      </c>
      <c r="D945" s="153" t="s">
        <v>989</v>
      </c>
      <c r="E945" s="76" t="s">
        <v>357</v>
      </c>
      <c r="F945" s="76" t="s">
        <v>378</v>
      </c>
      <c r="G945" s="77">
        <v>4</v>
      </c>
      <c r="H945" s="50">
        <v>0</v>
      </c>
      <c r="I945" s="50">
        <v>0</v>
      </c>
      <c r="J945" s="50">
        <v>0</v>
      </c>
      <c r="K945" s="50">
        <f t="shared" si="74"/>
        <v>0</v>
      </c>
      <c r="L945" s="52">
        <f t="shared" si="75"/>
        <v>0</v>
      </c>
    </row>
    <row r="946" spans="3:12" s="78" customFormat="1" ht="35.450000000000003" customHeight="1">
      <c r="C946" s="157" t="s">
        <v>597</v>
      </c>
      <c r="D946" s="153" t="s">
        <v>990</v>
      </c>
      <c r="E946" s="76" t="s">
        <v>357</v>
      </c>
      <c r="F946" s="76" t="s">
        <v>378</v>
      </c>
      <c r="G946" s="77">
        <v>3</v>
      </c>
      <c r="H946" s="50">
        <v>0</v>
      </c>
      <c r="I946" s="50">
        <v>0</v>
      </c>
      <c r="J946" s="50">
        <v>0</v>
      </c>
      <c r="K946" s="50">
        <f t="shared" si="74"/>
        <v>0</v>
      </c>
      <c r="L946" s="52">
        <f t="shared" si="75"/>
        <v>0</v>
      </c>
    </row>
    <row r="947" spans="3:12" s="78" customFormat="1" ht="35.450000000000003" customHeight="1">
      <c r="C947" s="157" t="s">
        <v>598</v>
      </c>
      <c r="D947" s="153" t="s">
        <v>991</v>
      </c>
      <c r="E947" s="76" t="s">
        <v>357</v>
      </c>
      <c r="F947" s="76" t="s">
        <v>378</v>
      </c>
      <c r="G947" s="77">
        <v>1</v>
      </c>
      <c r="H947" s="50">
        <v>0</v>
      </c>
      <c r="I947" s="50">
        <v>0</v>
      </c>
      <c r="J947" s="50">
        <v>0</v>
      </c>
      <c r="K947" s="50">
        <f t="shared" si="74"/>
        <v>0</v>
      </c>
      <c r="L947" s="52">
        <f t="shared" si="75"/>
        <v>0</v>
      </c>
    </row>
    <row r="948" spans="3:12" s="78" customFormat="1" ht="35.450000000000003" customHeight="1">
      <c r="C948" s="157" t="s">
        <v>599</v>
      </c>
      <c r="D948" s="153" t="s">
        <v>992</v>
      </c>
      <c r="E948" s="76" t="s">
        <v>357</v>
      </c>
      <c r="F948" s="76" t="s">
        <v>378</v>
      </c>
      <c r="G948" s="77">
        <v>14</v>
      </c>
      <c r="H948" s="50">
        <v>0</v>
      </c>
      <c r="I948" s="50">
        <v>0</v>
      </c>
      <c r="J948" s="50">
        <v>0</v>
      </c>
      <c r="K948" s="50">
        <f t="shared" si="74"/>
        <v>0</v>
      </c>
      <c r="L948" s="52">
        <f t="shared" si="75"/>
        <v>0</v>
      </c>
    </row>
    <row r="949" spans="3:12" s="78" customFormat="1" ht="35.450000000000003" customHeight="1">
      <c r="C949" s="157" t="s">
        <v>600</v>
      </c>
      <c r="D949" s="153" t="s">
        <v>993</v>
      </c>
      <c r="E949" s="76" t="s">
        <v>357</v>
      </c>
      <c r="F949" s="76" t="s">
        <v>378</v>
      </c>
      <c r="G949" s="77">
        <v>1</v>
      </c>
      <c r="H949" s="50">
        <v>0</v>
      </c>
      <c r="I949" s="50">
        <v>0</v>
      </c>
      <c r="J949" s="50">
        <v>0</v>
      </c>
      <c r="K949" s="50">
        <f t="shared" si="74"/>
        <v>0</v>
      </c>
      <c r="L949" s="52">
        <f t="shared" si="75"/>
        <v>0</v>
      </c>
    </row>
    <row r="950" spans="3:12" s="78" customFormat="1" ht="35.450000000000003" customHeight="1">
      <c r="C950" s="157" t="s">
        <v>601</v>
      </c>
      <c r="D950" s="153" t="s">
        <v>994</v>
      </c>
      <c r="E950" s="76" t="s">
        <v>357</v>
      </c>
      <c r="F950" s="76" t="s">
        <v>378</v>
      </c>
      <c r="G950" s="77">
        <v>1</v>
      </c>
      <c r="H950" s="50">
        <v>0</v>
      </c>
      <c r="I950" s="50">
        <v>0</v>
      </c>
      <c r="J950" s="50">
        <v>0</v>
      </c>
      <c r="K950" s="50">
        <f t="shared" si="74"/>
        <v>0</v>
      </c>
      <c r="L950" s="52">
        <f t="shared" si="75"/>
        <v>0</v>
      </c>
    </row>
    <row r="951" spans="3:12" s="78" customFormat="1" ht="35.450000000000003" customHeight="1">
      <c r="C951" s="157" t="s">
        <v>602</v>
      </c>
      <c r="D951" s="153" t="s">
        <v>995</v>
      </c>
      <c r="E951" s="76" t="s">
        <v>357</v>
      </c>
      <c r="F951" s="76" t="s">
        <v>378</v>
      </c>
      <c r="G951" s="77">
        <v>2</v>
      </c>
      <c r="H951" s="50">
        <v>0</v>
      </c>
      <c r="I951" s="50">
        <v>0</v>
      </c>
      <c r="J951" s="50">
        <v>0</v>
      </c>
      <c r="K951" s="50">
        <f t="shared" si="74"/>
        <v>0</v>
      </c>
      <c r="L951" s="52">
        <f t="shared" si="75"/>
        <v>0</v>
      </c>
    </row>
    <row r="952" spans="3:12" s="78" customFormat="1" ht="35.450000000000003" customHeight="1">
      <c r="C952" s="157" t="s">
        <v>603</v>
      </c>
      <c r="D952" s="153" t="s">
        <v>996</v>
      </c>
      <c r="E952" s="76" t="s">
        <v>357</v>
      </c>
      <c r="F952" s="76" t="s">
        <v>378</v>
      </c>
      <c r="G952" s="77">
        <v>1</v>
      </c>
      <c r="H952" s="50">
        <v>0</v>
      </c>
      <c r="I952" s="50">
        <v>0</v>
      </c>
      <c r="J952" s="50">
        <v>0</v>
      </c>
      <c r="K952" s="50">
        <f t="shared" si="74"/>
        <v>0</v>
      </c>
      <c r="L952" s="52">
        <f t="shared" si="75"/>
        <v>0</v>
      </c>
    </row>
    <row r="953" spans="3:12" s="78" customFormat="1" ht="35.450000000000003" customHeight="1">
      <c r="C953" s="157" t="s">
        <v>604</v>
      </c>
      <c r="D953" s="153" t="s">
        <v>997</v>
      </c>
      <c r="E953" s="76" t="s">
        <v>357</v>
      </c>
      <c r="F953" s="76" t="s">
        <v>378</v>
      </c>
      <c r="G953" s="77">
        <v>2</v>
      </c>
      <c r="H953" s="50">
        <v>0</v>
      </c>
      <c r="I953" s="50">
        <v>0</v>
      </c>
      <c r="J953" s="50">
        <v>0</v>
      </c>
      <c r="K953" s="50">
        <f t="shared" si="74"/>
        <v>0</v>
      </c>
      <c r="L953" s="52">
        <f t="shared" si="75"/>
        <v>0</v>
      </c>
    </row>
    <row r="954" spans="3:12" s="78" customFormat="1" ht="35.450000000000003" customHeight="1">
      <c r="C954" s="157" t="s">
        <v>605</v>
      </c>
      <c r="D954" s="153" t="s">
        <v>998</v>
      </c>
      <c r="E954" s="76" t="s">
        <v>357</v>
      </c>
      <c r="F954" s="76" t="s">
        <v>378</v>
      </c>
      <c r="G954" s="77">
        <v>4</v>
      </c>
      <c r="H954" s="50">
        <v>0</v>
      </c>
      <c r="I954" s="50">
        <v>0</v>
      </c>
      <c r="J954" s="50">
        <v>0</v>
      </c>
      <c r="K954" s="50">
        <f t="shared" si="74"/>
        <v>0</v>
      </c>
      <c r="L954" s="52">
        <f t="shared" si="75"/>
        <v>0</v>
      </c>
    </row>
    <row r="955" spans="3:12" s="78" customFormat="1" ht="35.450000000000003" customHeight="1">
      <c r="C955" s="157" t="s">
        <v>606</v>
      </c>
      <c r="D955" s="153" t="s">
        <v>999</v>
      </c>
      <c r="E955" s="76" t="s">
        <v>357</v>
      </c>
      <c r="F955" s="76" t="s">
        <v>378</v>
      </c>
      <c r="G955" s="77">
        <v>5</v>
      </c>
      <c r="H955" s="50">
        <v>0</v>
      </c>
      <c r="I955" s="50">
        <v>0</v>
      </c>
      <c r="J955" s="50">
        <v>0</v>
      </c>
      <c r="K955" s="50">
        <f t="shared" si="74"/>
        <v>0</v>
      </c>
      <c r="L955" s="52">
        <f t="shared" si="75"/>
        <v>0</v>
      </c>
    </row>
    <row r="956" spans="3:12" s="78" customFormat="1" ht="35.450000000000003" customHeight="1">
      <c r="C956" s="157" t="s">
        <v>607</v>
      </c>
      <c r="D956" s="153" t="s">
        <v>1000</v>
      </c>
      <c r="E956" s="76" t="s">
        <v>357</v>
      </c>
      <c r="F956" s="76" t="s">
        <v>378</v>
      </c>
      <c r="G956" s="77">
        <v>21</v>
      </c>
      <c r="H956" s="50">
        <v>0</v>
      </c>
      <c r="I956" s="50">
        <v>0</v>
      </c>
      <c r="J956" s="50">
        <v>0</v>
      </c>
      <c r="K956" s="50">
        <f t="shared" si="74"/>
        <v>0</v>
      </c>
      <c r="L956" s="52">
        <f t="shared" si="75"/>
        <v>0</v>
      </c>
    </row>
    <row r="957" spans="3:12" s="78" customFormat="1" ht="35.450000000000003" customHeight="1">
      <c r="C957" s="157" t="s">
        <v>608</v>
      </c>
      <c r="D957" s="153" t="s">
        <v>1001</v>
      </c>
      <c r="E957" s="76" t="s">
        <v>357</v>
      </c>
      <c r="F957" s="76" t="s">
        <v>378</v>
      </c>
      <c r="G957" s="77">
        <v>5</v>
      </c>
      <c r="H957" s="50">
        <v>0</v>
      </c>
      <c r="I957" s="50">
        <v>0</v>
      </c>
      <c r="J957" s="50">
        <v>0</v>
      </c>
      <c r="K957" s="50">
        <f t="shared" si="74"/>
        <v>0</v>
      </c>
      <c r="L957" s="52">
        <f t="shared" si="75"/>
        <v>0</v>
      </c>
    </row>
    <row r="958" spans="3:12" s="78" customFormat="1" ht="35.450000000000003" customHeight="1">
      <c r="C958" s="157" t="s">
        <v>609</v>
      </c>
      <c r="D958" s="153" t="s">
        <v>1002</v>
      </c>
      <c r="E958" s="76" t="s">
        <v>357</v>
      </c>
      <c r="F958" s="76" t="s">
        <v>378</v>
      </c>
      <c r="G958" s="77">
        <v>1</v>
      </c>
      <c r="H958" s="50">
        <v>0</v>
      </c>
      <c r="I958" s="50">
        <v>0</v>
      </c>
      <c r="J958" s="50">
        <v>0</v>
      </c>
      <c r="K958" s="50">
        <f t="shared" si="74"/>
        <v>0</v>
      </c>
      <c r="L958" s="52">
        <f t="shared" si="75"/>
        <v>0</v>
      </c>
    </row>
    <row r="959" spans="3:12" s="78" customFormat="1" ht="35.450000000000003" customHeight="1">
      <c r="C959" s="157" t="s">
        <v>610</v>
      </c>
      <c r="D959" s="153" t="s">
        <v>1003</v>
      </c>
      <c r="E959" s="76" t="s">
        <v>357</v>
      </c>
      <c r="F959" s="76" t="s">
        <v>378</v>
      </c>
      <c r="G959" s="77">
        <v>4</v>
      </c>
      <c r="H959" s="50">
        <v>0</v>
      </c>
      <c r="I959" s="50">
        <v>0</v>
      </c>
      <c r="J959" s="50">
        <v>0</v>
      </c>
      <c r="K959" s="50">
        <f t="shared" si="74"/>
        <v>0</v>
      </c>
      <c r="L959" s="52">
        <f t="shared" si="75"/>
        <v>0</v>
      </c>
    </row>
    <row r="960" spans="3:12" s="78" customFormat="1" ht="35.450000000000003" customHeight="1">
      <c r="C960" s="157" t="s">
        <v>611</v>
      </c>
      <c r="D960" s="153" t="s">
        <v>1004</v>
      </c>
      <c r="E960" s="76" t="s">
        <v>357</v>
      </c>
      <c r="F960" s="76" t="s">
        <v>378</v>
      </c>
      <c r="G960" s="77">
        <v>17</v>
      </c>
      <c r="H960" s="50">
        <v>0</v>
      </c>
      <c r="I960" s="50">
        <v>0</v>
      </c>
      <c r="J960" s="50">
        <v>0</v>
      </c>
      <c r="K960" s="50">
        <f t="shared" si="74"/>
        <v>0</v>
      </c>
      <c r="L960" s="52">
        <f t="shared" si="75"/>
        <v>0</v>
      </c>
    </row>
    <row r="961" spans="3:12" s="78" customFormat="1" ht="35.450000000000003" customHeight="1">
      <c r="C961" s="157" t="s">
        <v>612</v>
      </c>
      <c r="D961" s="153" t="s">
        <v>1005</v>
      </c>
      <c r="E961" s="76" t="s">
        <v>357</v>
      </c>
      <c r="F961" s="76" t="s">
        <v>378</v>
      </c>
      <c r="G961" s="77">
        <v>1</v>
      </c>
      <c r="H961" s="50">
        <v>0</v>
      </c>
      <c r="I961" s="50">
        <v>0</v>
      </c>
      <c r="J961" s="50">
        <v>0</v>
      </c>
      <c r="K961" s="50">
        <f t="shared" si="74"/>
        <v>0</v>
      </c>
      <c r="L961" s="52">
        <f t="shared" si="75"/>
        <v>0</v>
      </c>
    </row>
    <row r="962" spans="3:12" s="78" customFormat="1" ht="35.450000000000003" customHeight="1">
      <c r="C962" s="157" t="s">
        <v>613</v>
      </c>
      <c r="D962" s="153" t="s">
        <v>1006</v>
      </c>
      <c r="E962" s="76" t="s">
        <v>357</v>
      </c>
      <c r="F962" s="76" t="s">
        <v>378</v>
      </c>
      <c r="G962" s="77">
        <v>8</v>
      </c>
      <c r="H962" s="50">
        <v>0</v>
      </c>
      <c r="I962" s="50">
        <v>0</v>
      </c>
      <c r="J962" s="50">
        <v>0</v>
      </c>
      <c r="K962" s="50">
        <f t="shared" si="74"/>
        <v>0</v>
      </c>
      <c r="L962" s="52">
        <f t="shared" si="75"/>
        <v>0</v>
      </c>
    </row>
    <row r="963" spans="3:12" s="78" customFormat="1" ht="35.450000000000003" customHeight="1">
      <c r="C963" s="157" t="s">
        <v>614</v>
      </c>
      <c r="D963" s="153" t="s">
        <v>1007</v>
      </c>
      <c r="E963" s="76" t="s">
        <v>357</v>
      </c>
      <c r="F963" s="76" t="s">
        <v>378</v>
      </c>
      <c r="G963" s="77">
        <v>36</v>
      </c>
      <c r="H963" s="50">
        <v>0</v>
      </c>
      <c r="I963" s="50">
        <v>0</v>
      </c>
      <c r="J963" s="50">
        <v>0</v>
      </c>
      <c r="K963" s="50">
        <f t="shared" si="74"/>
        <v>0</v>
      </c>
      <c r="L963" s="52">
        <f t="shared" si="75"/>
        <v>0</v>
      </c>
    </row>
    <row r="964" spans="3:12" s="78" customFormat="1" ht="35.450000000000003" customHeight="1">
      <c r="C964" s="157" t="s">
        <v>615</v>
      </c>
      <c r="D964" s="153" t="s">
        <v>1008</v>
      </c>
      <c r="E964" s="76" t="s">
        <v>357</v>
      </c>
      <c r="F964" s="76" t="s">
        <v>378</v>
      </c>
      <c r="G964" s="77">
        <v>10</v>
      </c>
      <c r="H964" s="50">
        <v>0</v>
      </c>
      <c r="I964" s="50">
        <v>0</v>
      </c>
      <c r="J964" s="50">
        <v>0</v>
      </c>
      <c r="K964" s="50">
        <f t="shared" si="74"/>
        <v>0</v>
      </c>
      <c r="L964" s="52">
        <f t="shared" si="75"/>
        <v>0</v>
      </c>
    </row>
    <row r="965" spans="3:12" s="78" customFormat="1" ht="35.450000000000003" customHeight="1">
      <c r="C965" s="157" t="s">
        <v>616</v>
      </c>
      <c r="D965" s="153" t="s">
        <v>1009</v>
      </c>
      <c r="E965" s="76" t="s">
        <v>357</v>
      </c>
      <c r="F965" s="76" t="s">
        <v>378</v>
      </c>
      <c r="G965" s="77">
        <v>5</v>
      </c>
      <c r="H965" s="50">
        <v>0</v>
      </c>
      <c r="I965" s="50">
        <v>0</v>
      </c>
      <c r="J965" s="50">
        <v>0</v>
      </c>
      <c r="K965" s="50">
        <f t="shared" si="74"/>
        <v>0</v>
      </c>
      <c r="L965" s="52">
        <f t="shared" si="75"/>
        <v>0</v>
      </c>
    </row>
    <row r="966" spans="3:12" s="78" customFormat="1" ht="35.450000000000003" customHeight="1">
      <c r="C966" s="157" t="s">
        <v>617</v>
      </c>
      <c r="D966" s="153" t="s">
        <v>1010</v>
      </c>
      <c r="E966" s="76" t="s">
        <v>357</v>
      </c>
      <c r="F966" s="76" t="s">
        <v>378</v>
      </c>
      <c r="G966" s="77">
        <v>1</v>
      </c>
      <c r="H966" s="50">
        <v>0</v>
      </c>
      <c r="I966" s="50">
        <v>0</v>
      </c>
      <c r="J966" s="50">
        <v>0</v>
      </c>
      <c r="K966" s="50">
        <f t="shared" si="74"/>
        <v>0</v>
      </c>
      <c r="L966" s="52">
        <f t="shared" si="75"/>
        <v>0</v>
      </c>
    </row>
    <row r="967" spans="3:12" s="78" customFormat="1" ht="35.450000000000003" customHeight="1">
      <c r="C967" s="157" t="s">
        <v>618</v>
      </c>
      <c r="D967" s="153" t="s">
        <v>1011</v>
      </c>
      <c r="E967" s="76" t="s">
        <v>357</v>
      </c>
      <c r="F967" s="76" t="s">
        <v>378</v>
      </c>
      <c r="G967" s="77">
        <v>1</v>
      </c>
      <c r="H967" s="50">
        <v>0</v>
      </c>
      <c r="I967" s="50">
        <v>0</v>
      </c>
      <c r="J967" s="50">
        <v>0</v>
      </c>
      <c r="K967" s="50">
        <f t="shared" si="74"/>
        <v>0</v>
      </c>
      <c r="L967" s="52">
        <f t="shared" si="75"/>
        <v>0</v>
      </c>
    </row>
    <row r="968" spans="3:12" s="78" customFormat="1" ht="35.450000000000003" customHeight="1">
      <c r="C968" s="157" t="s">
        <v>619</v>
      </c>
      <c r="D968" s="153" t="s">
        <v>433</v>
      </c>
      <c r="E968" s="76" t="s">
        <v>357</v>
      </c>
      <c r="F968" s="76" t="s">
        <v>387</v>
      </c>
      <c r="G968" s="77">
        <v>300</v>
      </c>
      <c r="H968" s="50">
        <v>0</v>
      </c>
      <c r="I968" s="50">
        <v>0</v>
      </c>
      <c r="J968" s="50">
        <v>0</v>
      </c>
      <c r="K968" s="50">
        <f t="shared" si="74"/>
        <v>0</v>
      </c>
      <c r="L968" s="52">
        <f t="shared" si="75"/>
        <v>0</v>
      </c>
    </row>
    <row r="969" spans="3:12" s="78" customFormat="1" ht="35.450000000000003" customHeight="1">
      <c r="C969" s="157" t="s">
        <v>620</v>
      </c>
      <c r="D969" s="153" t="s">
        <v>435</v>
      </c>
      <c r="E969" s="76" t="s">
        <v>357</v>
      </c>
      <c r="F969" s="76" t="s">
        <v>387</v>
      </c>
      <c r="G969" s="77">
        <v>322</v>
      </c>
      <c r="H969" s="50">
        <v>0</v>
      </c>
      <c r="I969" s="50">
        <v>0</v>
      </c>
      <c r="J969" s="50">
        <v>0</v>
      </c>
      <c r="K969" s="50">
        <f t="shared" si="74"/>
        <v>0</v>
      </c>
      <c r="L969" s="52">
        <f t="shared" si="75"/>
        <v>0</v>
      </c>
    </row>
    <row r="970" spans="3:12" s="78" customFormat="1" ht="35.450000000000003" customHeight="1">
      <c r="C970" s="157" t="s">
        <v>621</v>
      </c>
      <c r="D970" s="153" t="s">
        <v>437</v>
      </c>
      <c r="E970" s="76" t="s">
        <v>357</v>
      </c>
      <c r="F970" s="76" t="s">
        <v>387</v>
      </c>
      <c r="G970" s="77">
        <v>28</v>
      </c>
      <c r="H970" s="50">
        <v>0</v>
      </c>
      <c r="I970" s="50">
        <v>0</v>
      </c>
      <c r="J970" s="50">
        <v>0</v>
      </c>
      <c r="K970" s="50">
        <f t="shared" si="74"/>
        <v>0</v>
      </c>
      <c r="L970" s="52">
        <f t="shared" si="75"/>
        <v>0</v>
      </c>
    </row>
    <row r="971" spans="3:12" s="78" customFormat="1" ht="35.450000000000003" customHeight="1">
      <c r="C971" s="157" t="s">
        <v>622</v>
      </c>
      <c r="D971" s="153" t="s">
        <v>439</v>
      </c>
      <c r="E971" s="76" t="s">
        <v>357</v>
      </c>
      <c r="F971" s="76" t="s">
        <v>387</v>
      </c>
      <c r="G971" s="77">
        <v>342</v>
      </c>
      <c r="H971" s="50">
        <v>0</v>
      </c>
      <c r="I971" s="50">
        <v>0</v>
      </c>
      <c r="J971" s="50">
        <v>0</v>
      </c>
      <c r="K971" s="50">
        <f t="shared" si="74"/>
        <v>0</v>
      </c>
      <c r="L971" s="52">
        <f t="shared" si="75"/>
        <v>0</v>
      </c>
    </row>
    <row r="972" spans="3:12" s="35" customFormat="1" ht="35.450000000000003" customHeight="1">
      <c r="C972" s="94"/>
      <c r="D972" s="95"/>
      <c r="E972" s="96"/>
      <c r="F972" s="97"/>
      <c r="G972" s="98"/>
      <c r="H972" s="99"/>
      <c r="I972" s="99"/>
      <c r="J972" s="99"/>
      <c r="K972" s="100"/>
      <c r="L972" s="101"/>
    </row>
    <row r="973" spans="3:12" s="35" customFormat="1" ht="35.450000000000003" customHeight="1">
      <c r="C973" s="198" t="s">
        <v>243</v>
      </c>
      <c r="D973" s="199" t="s">
        <v>967</v>
      </c>
      <c r="E973" s="200"/>
      <c r="F973" s="201"/>
      <c r="G973" s="202"/>
      <c r="H973" s="203"/>
      <c r="I973" s="204"/>
      <c r="J973" s="204"/>
      <c r="K973" s="205"/>
      <c r="L973" s="206"/>
    </row>
    <row r="974" spans="3:12" s="35" customFormat="1" ht="35.450000000000003" customHeight="1">
      <c r="C974" s="112"/>
      <c r="D974" s="39"/>
      <c r="E974" s="48"/>
      <c r="F974" s="113"/>
      <c r="G974" s="114"/>
      <c r="H974" s="115"/>
      <c r="I974" s="116"/>
      <c r="J974" s="116"/>
      <c r="K974" s="117"/>
      <c r="L974" s="118"/>
    </row>
    <row r="975" spans="3:12" s="34" customFormat="1" ht="35.450000000000003" customHeight="1">
      <c r="C975" s="154" t="s">
        <v>244</v>
      </c>
      <c r="D975" s="47" t="s">
        <v>961</v>
      </c>
      <c r="E975" s="48" t="s">
        <v>358</v>
      </c>
      <c r="F975" s="76" t="s">
        <v>387</v>
      </c>
      <c r="G975" s="49">
        <v>3000</v>
      </c>
      <c r="H975" s="50">
        <v>0</v>
      </c>
      <c r="I975" s="50">
        <v>0</v>
      </c>
      <c r="J975" s="50">
        <v>0</v>
      </c>
      <c r="K975" s="50">
        <f t="shared" ref="K975:K985" si="76">+H975+I975+J975</f>
        <v>0</v>
      </c>
      <c r="L975" s="52">
        <f t="shared" ref="L975:L985" si="77">+K975*G975</f>
        <v>0</v>
      </c>
    </row>
    <row r="976" spans="3:12" s="34" customFormat="1" ht="35.450000000000003" customHeight="1">
      <c r="C976" s="154" t="s">
        <v>245</v>
      </c>
      <c r="D976" s="47" t="s">
        <v>962</v>
      </c>
      <c r="E976" s="48" t="s">
        <v>358</v>
      </c>
      <c r="F976" s="76" t="s">
        <v>387</v>
      </c>
      <c r="G976" s="49">
        <v>250</v>
      </c>
      <c r="H976" s="50">
        <v>0</v>
      </c>
      <c r="I976" s="50">
        <v>0</v>
      </c>
      <c r="J976" s="50">
        <v>0</v>
      </c>
      <c r="K976" s="50">
        <f t="shared" si="76"/>
        <v>0</v>
      </c>
      <c r="L976" s="52">
        <f t="shared" si="77"/>
        <v>0</v>
      </c>
    </row>
    <row r="977" spans="3:12" s="34" customFormat="1" ht="35.450000000000003" customHeight="1">
      <c r="C977" s="154" t="s">
        <v>379</v>
      </c>
      <c r="D977" s="47" t="s">
        <v>761</v>
      </c>
      <c r="E977" s="48" t="s">
        <v>358</v>
      </c>
      <c r="F977" s="76" t="s">
        <v>387</v>
      </c>
      <c r="G977" s="49">
        <v>400</v>
      </c>
      <c r="H977" s="50">
        <v>0</v>
      </c>
      <c r="I977" s="50">
        <v>0</v>
      </c>
      <c r="J977" s="50">
        <v>0</v>
      </c>
      <c r="K977" s="50">
        <f t="shared" si="76"/>
        <v>0</v>
      </c>
      <c r="L977" s="52">
        <f t="shared" si="77"/>
        <v>0</v>
      </c>
    </row>
    <row r="978" spans="3:12" s="34" customFormat="1" ht="35.450000000000003" customHeight="1">
      <c r="C978" s="154" t="s">
        <v>380</v>
      </c>
      <c r="D978" s="47" t="s">
        <v>762</v>
      </c>
      <c r="E978" s="48" t="s">
        <v>358</v>
      </c>
      <c r="F978" s="76" t="s">
        <v>387</v>
      </c>
      <c r="G978" s="49">
        <v>10</v>
      </c>
      <c r="H978" s="50">
        <v>0</v>
      </c>
      <c r="I978" s="50">
        <v>0</v>
      </c>
      <c r="J978" s="50">
        <v>0</v>
      </c>
      <c r="K978" s="50">
        <f t="shared" si="76"/>
        <v>0</v>
      </c>
      <c r="L978" s="52">
        <f t="shared" si="77"/>
        <v>0</v>
      </c>
    </row>
    <row r="979" spans="3:12" s="34" customFormat="1" ht="35.450000000000003" customHeight="1">
      <c r="C979" s="154" t="s">
        <v>381</v>
      </c>
      <c r="D979" s="47" t="s">
        <v>390</v>
      </c>
      <c r="E979" s="48" t="s">
        <v>358</v>
      </c>
      <c r="F979" s="76" t="s">
        <v>387</v>
      </c>
      <c r="G979" s="49">
        <v>25</v>
      </c>
      <c r="H979" s="50">
        <v>0</v>
      </c>
      <c r="I979" s="50">
        <v>0</v>
      </c>
      <c r="J979" s="50">
        <v>0</v>
      </c>
      <c r="K979" s="50">
        <f t="shared" si="76"/>
        <v>0</v>
      </c>
      <c r="L979" s="52">
        <f t="shared" si="77"/>
        <v>0</v>
      </c>
    </row>
    <row r="980" spans="3:12" s="34" customFormat="1" ht="35.450000000000003" customHeight="1">
      <c r="C980" s="154" t="s">
        <v>385</v>
      </c>
      <c r="D980" s="47" t="s">
        <v>2302</v>
      </c>
      <c r="E980" s="48" t="s">
        <v>421</v>
      </c>
      <c r="F980" s="48" t="s">
        <v>378</v>
      </c>
      <c r="G980" s="49">
        <v>10</v>
      </c>
      <c r="H980" s="50">
        <v>0</v>
      </c>
      <c r="I980" s="50">
        <v>0</v>
      </c>
      <c r="J980" s="50">
        <v>0</v>
      </c>
      <c r="K980" s="50">
        <f t="shared" si="76"/>
        <v>0</v>
      </c>
      <c r="L980" s="52">
        <f t="shared" si="77"/>
        <v>0</v>
      </c>
    </row>
    <row r="981" spans="3:12" s="34" customFormat="1" ht="35.450000000000003" customHeight="1">
      <c r="C981" s="154" t="s">
        <v>386</v>
      </c>
      <c r="D981" s="47" t="s">
        <v>2301</v>
      </c>
      <c r="E981" s="48" t="s">
        <v>422</v>
      </c>
      <c r="F981" s="48" t="s">
        <v>378</v>
      </c>
      <c r="G981" s="49">
        <v>5</v>
      </c>
      <c r="H981" s="50">
        <v>0</v>
      </c>
      <c r="I981" s="50">
        <v>0</v>
      </c>
      <c r="J981" s="50">
        <v>0</v>
      </c>
      <c r="K981" s="50">
        <f t="shared" si="76"/>
        <v>0</v>
      </c>
      <c r="L981" s="52">
        <f t="shared" si="77"/>
        <v>0</v>
      </c>
    </row>
    <row r="982" spans="3:12" s="34" customFormat="1" ht="35.450000000000003" customHeight="1">
      <c r="C982" s="154" t="s">
        <v>391</v>
      </c>
      <c r="D982" s="47" t="s">
        <v>963</v>
      </c>
      <c r="E982" s="48" t="s">
        <v>358</v>
      </c>
      <c r="F982" s="76" t="s">
        <v>387</v>
      </c>
      <c r="G982" s="49">
        <v>2000</v>
      </c>
      <c r="H982" s="50">
        <v>0</v>
      </c>
      <c r="I982" s="50">
        <v>0</v>
      </c>
      <c r="J982" s="50">
        <v>0</v>
      </c>
      <c r="K982" s="50">
        <f t="shared" si="76"/>
        <v>0</v>
      </c>
      <c r="L982" s="52">
        <f t="shared" si="77"/>
        <v>0</v>
      </c>
    </row>
    <row r="983" spans="3:12" s="34" customFormat="1" ht="35.450000000000003" customHeight="1">
      <c r="C983" s="154" t="s">
        <v>391</v>
      </c>
      <c r="D983" s="47" t="s">
        <v>964</v>
      </c>
      <c r="E983" s="48" t="s">
        <v>358</v>
      </c>
      <c r="F983" s="76" t="s">
        <v>387</v>
      </c>
      <c r="G983" s="49">
        <v>1200</v>
      </c>
      <c r="H983" s="50">
        <v>0</v>
      </c>
      <c r="I983" s="50">
        <v>0</v>
      </c>
      <c r="J983" s="50">
        <v>0</v>
      </c>
      <c r="K983" s="50">
        <f>+H983+I983+J983</f>
        <v>0</v>
      </c>
      <c r="L983" s="52">
        <f>+K983*G983</f>
        <v>0</v>
      </c>
    </row>
    <row r="984" spans="3:12" s="34" customFormat="1" ht="35.450000000000003" customHeight="1">
      <c r="C984" s="154" t="s">
        <v>392</v>
      </c>
      <c r="D984" s="47" t="s">
        <v>965</v>
      </c>
      <c r="E984" s="48" t="s">
        <v>358</v>
      </c>
      <c r="F984" s="76" t="s">
        <v>387</v>
      </c>
      <c r="G984" s="49">
        <v>100</v>
      </c>
      <c r="H984" s="50">
        <v>0</v>
      </c>
      <c r="I984" s="50">
        <v>0</v>
      </c>
      <c r="J984" s="50">
        <v>0</v>
      </c>
      <c r="K984" s="50">
        <f>+H984+I984+J984</f>
        <v>0</v>
      </c>
      <c r="L984" s="52">
        <f>+K984*G984</f>
        <v>0</v>
      </c>
    </row>
    <row r="985" spans="3:12" s="34" customFormat="1" ht="35.450000000000003" customHeight="1">
      <c r="C985" s="154" t="s">
        <v>392</v>
      </c>
      <c r="D985" s="47" t="s">
        <v>966</v>
      </c>
      <c r="E985" s="48" t="s">
        <v>358</v>
      </c>
      <c r="F985" s="76" t="s">
        <v>387</v>
      </c>
      <c r="G985" s="49">
        <v>300</v>
      </c>
      <c r="H985" s="50">
        <v>0</v>
      </c>
      <c r="I985" s="50">
        <v>0</v>
      </c>
      <c r="J985" s="50">
        <v>0</v>
      </c>
      <c r="K985" s="50">
        <f t="shared" si="76"/>
        <v>0</v>
      </c>
      <c r="L985" s="52">
        <f t="shared" si="77"/>
        <v>0</v>
      </c>
    </row>
    <row r="986" spans="3:12" s="34" customFormat="1" ht="35.450000000000003" customHeight="1">
      <c r="C986" s="154"/>
      <c r="D986" s="47"/>
      <c r="E986" s="48"/>
      <c r="F986" s="76"/>
      <c r="G986" s="49"/>
      <c r="H986" s="50"/>
      <c r="I986" s="50"/>
      <c r="J986" s="50"/>
      <c r="K986" s="50"/>
      <c r="L986" s="52"/>
    </row>
    <row r="987" spans="3:12" s="35" customFormat="1" ht="39.950000000000003" customHeight="1">
      <c r="C987" s="62"/>
      <c r="D987" s="63" t="s">
        <v>881</v>
      </c>
      <c r="E987" s="64"/>
      <c r="F987" s="65"/>
      <c r="G987" s="66"/>
      <c r="H987" s="67">
        <f>SUMPRODUCT(G913:G985,H913:H985)</f>
        <v>0</v>
      </c>
      <c r="I987" s="67">
        <f>SUMPRODUCT(G913:G985,I913:I985)</f>
        <v>0</v>
      </c>
      <c r="J987" s="67">
        <f>SUMPRODUCT(G913:G985,J913:J985)</f>
        <v>0</v>
      </c>
      <c r="K987" s="68"/>
      <c r="L987" s="69">
        <f>SUM(L913:L985)</f>
        <v>0</v>
      </c>
    </row>
    <row r="988" spans="3:12" s="35" customFormat="1">
      <c r="C988" s="94"/>
      <c r="D988" s="95"/>
      <c r="E988" s="96"/>
      <c r="F988" s="97"/>
      <c r="G988" s="98"/>
      <c r="H988" s="99"/>
      <c r="I988" s="102"/>
      <c r="J988" s="102"/>
      <c r="K988" s="100"/>
      <c r="L988" s="101"/>
    </row>
    <row r="989" spans="3:12" s="35" customFormat="1" ht="30" customHeight="1">
      <c r="C989" s="25" t="s">
        <v>8</v>
      </c>
      <c r="D989" s="26" t="s">
        <v>47</v>
      </c>
      <c r="E989" s="27"/>
      <c r="F989" s="28"/>
      <c r="G989" s="29"/>
      <c r="H989" s="30"/>
      <c r="I989" s="31"/>
      <c r="J989" s="31"/>
      <c r="K989" s="32"/>
      <c r="L989" s="33"/>
    </row>
    <row r="990" spans="3:12" s="35" customFormat="1" ht="138" customHeight="1">
      <c r="C990" s="25" t="s">
        <v>48</v>
      </c>
      <c r="D990" s="26" t="s">
        <v>933</v>
      </c>
      <c r="E990" s="27"/>
      <c r="F990" s="28"/>
      <c r="G990" s="29"/>
      <c r="H990" s="30"/>
      <c r="I990" s="31"/>
      <c r="J990" s="31"/>
      <c r="K990" s="32"/>
      <c r="L990" s="33"/>
    </row>
    <row r="991" spans="3:12" s="53" customFormat="1" ht="31.15" customHeight="1">
      <c r="C991" s="154" t="s">
        <v>49</v>
      </c>
      <c r="D991" s="159" t="s">
        <v>926</v>
      </c>
      <c r="E991" s="103" t="s">
        <v>359</v>
      </c>
      <c r="F991" s="48" t="s">
        <v>378</v>
      </c>
      <c r="G991" s="49">
        <f>+G1021</f>
        <v>5</v>
      </c>
      <c r="H991" s="50">
        <v>0</v>
      </c>
      <c r="I991" s="50">
        <v>0</v>
      </c>
      <c r="J991" s="50">
        <v>0</v>
      </c>
      <c r="K991" s="50">
        <f t="shared" ref="K991:K1004" si="78">+H991+I991+J991</f>
        <v>0</v>
      </c>
      <c r="L991" s="52">
        <f t="shared" ref="L991:L1004" si="79">+K991*G991</f>
        <v>0</v>
      </c>
    </row>
    <row r="992" spans="3:12" s="53" customFormat="1" ht="31.15" customHeight="1">
      <c r="C992" s="154" t="s">
        <v>50</v>
      </c>
      <c r="D992" s="47" t="s">
        <v>253</v>
      </c>
      <c r="E992" s="103" t="s">
        <v>359</v>
      </c>
      <c r="F992" s="48" t="s">
        <v>378</v>
      </c>
      <c r="G992" s="49">
        <f>+G1026</f>
        <v>1</v>
      </c>
      <c r="H992" s="50">
        <v>0</v>
      </c>
      <c r="I992" s="50">
        <v>0</v>
      </c>
      <c r="J992" s="50">
        <v>0</v>
      </c>
      <c r="K992" s="50">
        <f t="shared" si="78"/>
        <v>0</v>
      </c>
      <c r="L992" s="52">
        <f t="shared" si="79"/>
        <v>0</v>
      </c>
    </row>
    <row r="993" spans="3:12" s="53" customFormat="1" ht="31.15" customHeight="1">
      <c r="C993" s="154" t="s">
        <v>52</v>
      </c>
      <c r="D993" s="47" t="s">
        <v>51</v>
      </c>
      <c r="E993" s="103" t="s">
        <v>359</v>
      </c>
      <c r="F993" s="48" t="s">
        <v>378</v>
      </c>
      <c r="G993" s="49">
        <v>22</v>
      </c>
      <c r="H993" s="50">
        <v>0</v>
      </c>
      <c r="I993" s="50">
        <v>0</v>
      </c>
      <c r="J993" s="50">
        <v>0</v>
      </c>
      <c r="K993" s="50">
        <f t="shared" si="78"/>
        <v>0</v>
      </c>
      <c r="L993" s="52">
        <f t="shared" si="79"/>
        <v>0</v>
      </c>
    </row>
    <row r="994" spans="3:12" s="53" customFormat="1" ht="31.15" customHeight="1">
      <c r="C994" s="154" t="s">
        <v>53</v>
      </c>
      <c r="D994" s="47" t="s">
        <v>254</v>
      </c>
      <c r="E994" s="103" t="s">
        <v>359</v>
      </c>
      <c r="F994" s="48" t="s">
        <v>378</v>
      </c>
      <c r="G994" s="49">
        <f>+G1028</f>
        <v>1</v>
      </c>
      <c r="H994" s="50">
        <v>0</v>
      </c>
      <c r="I994" s="50">
        <v>0</v>
      </c>
      <c r="J994" s="50">
        <v>0</v>
      </c>
      <c r="K994" s="50">
        <f t="shared" si="78"/>
        <v>0</v>
      </c>
      <c r="L994" s="52">
        <f t="shared" si="79"/>
        <v>0</v>
      </c>
    </row>
    <row r="995" spans="3:12" s="53" customFormat="1" ht="31.15" customHeight="1">
      <c r="C995" s="154" t="s">
        <v>54</v>
      </c>
      <c r="D995" s="47" t="s">
        <v>413</v>
      </c>
      <c r="E995" s="103" t="s">
        <v>359</v>
      </c>
      <c r="F995" s="48" t="s">
        <v>378</v>
      </c>
      <c r="G995" s="49">
        <v>2</v>
      </c>
      <c r="H995" s="50">
        <v>0</v>
      </c>
      <c r="I995" s="50">
        <v>0</v>
      </c>
      <c r="J995" s="50">
        <v>0</v>
      </c>
      <c r="K995" s="50">
        <f t="shared" si="78"/>
        <v>0</v>
      </c>
      <c r="L995" s="52">
        <f t="shared" si="79"/>
        <v>0</v>
      </c>
    </row>
    <row r="996" spans="3:12" s="53" customFormat="1" ht="31.15" customHeight="1">
      <c r="C996" s="154" t="s">
        <v>768</v>
      </c>
      <c r="D996" s="47" t="s">
        <v>775</v>
      </c>
      <c r="E996" s="103" t="s">
        <v>359</v>
      </c>
      <c r="F996" s="48" t="s">
        <v>378</v>
      </c>
      <c r="G996" s="49">
        <v>1</v>
      </c>
      <c r="H996" s="50">
        <v>0</v>
      </c>
      <c r="I996" s="50">
        <v>0</v>
      </c>
      <c r="J996" s="50">
        <v>0</v>
      </c>
      <c r="K996" s="50">
        <f>+H996+I996+J996</f>
        <v>0</v>
      </c>
      <c r="L996" s="52">
        <f>+K996*G996</f>
        <v>0</v>
      </c>
    </row>
    <row r="997" spans="3:12" s="53" customFormat="1" ht="31.15" customHeight="1">
      <c r="C997" s="154" t="s">
        <v>769</v>
      </c>
      <c r="D997" s="47" t="s">
        <v>412</v>
      </c>
      <c r="E997" s="103" t="s">
        <v>359</v>
      </c>
      <c r="F997" s="48" t="s">
        <v>378</v>
      </c>
      <c r="G997" s="49">
        <f>+G1027</f>
        <v>1</v>
      </c>
      <c r="H997" s="50">
        <v>0</v>
      </c>
      <c r="I997" s="50">
        <v>0</v>
      </c>
      <c r="J997" s="50">
        <v>0</v>
      </c>
      <c r="K997" s="50">
        <f t="shared" si="78"/>
        <v>0</v>
      </c>
      <c r="L997" s="52">
        <f t="shared" si="79"/>
        <v>0</v>
      </c>
    </row>
    <row r="998" spans="3:12" s="53" customFormat="1" ht="31.15" customHeight="1">
      <c r="C998" s="154" t="s">
        <v>770</v>
      </c>
      <c r="D998" s="47" t="s">
        <v>777</v>
      </c>
      <c r="E998" s="103" t="s">
        <v>359</v>
      </c>
      <c r="F998" s="48" t="s">
        <v>378</v>
      </c>
      <c r="G998" s="49">
        <v>4</v>
      </c>
      <c r="H998" s="50">
        <v>0</v>
      </c>
      <c r="I998" s="50">
        <v>0</v>
      </c>
      <c r="J998" s="50">
        <v>0</v>
      </c>
      <c r="K998" s="50">
        <f>+H998+I998+J998</f>
        <v>0</v>
      </c>
      <c r="L998" s="52">
        <f>+K998*G998</f>
        <v>0</v>
      </c>
    </row>
    <row r="999" spans="3:12" s="53" customFormat="1" ht="31.15" customHeight="1">
      <c r="C999" s="154" t="s">
        <v>771</v>
      </c>
      <c r="D999" s="47" t="s">
        <v>764</v>
      </c>
      <c r="E999" s="103" t="s">
        <v>359</v>
      </c>
      <c r="F999" s="48" t="s">
        <v>378</v>
      </c>
      <c r="G999" s="49">
        <v>76</v>
      </c>
      <c r="H999" s="50">
        <v>0</v>
      </c>
      <c r="I999" s="50">
        <v>0</v>
      </c>
      <c r="J999" s="50">
        <v>0</v>
      </c>
      <c r="K999" s="50">
        <f t="shared" si="78"/>
        <v>0</v>
      </c>
      <c r="L999" s="52">
        <f t="shared" si="79"/>
        <v>0</v>
      </c>
    </row>
    <row r="1000" spans="3:12" s="53" customFormat="1" ht="31.15" customHeight="1">
      <c r="C1000" s="154" t="s">
        <v>772</v>
      </c>
      <c r="D1000" s="47" t="s">
        <v>763</v>
      </c>
      <c r="E1000" s="103" t="s">
        <v>359</v>
      </c>
      <c r="F1000" s="48" t="s">
        <v>378</v>
      </c>
      <c r="G1000" s="49">
        <v>82</v>
      </c>
      <c r="H1000" s="50">
        <v>0</v>
      </c>
      <c r="I1000" s="50">
        <v>0</v>
      </c>
      <c r="J1000" s="50">
        <v>0</v>
      </c>
      <c r="K1000" s="50">
        <f>+H1000+I1000+J1000</f>
        <v>0</v>
      </c>
      <c r="L1000" s="52">
        <f>+K1000*G1000</f>
        <v>0</v>
      </c>
    </row>
    <row r="1001" spans="3:12" s="53" customFormat="1" ht="31.15" customHeight="1">
      <c r="C1001" s="154" t="s">
        <v>773</v>
      </c>
      <c r="D1001" s="47" t="s">
        <v>765</v>
      </c>
      <c r="E1001" s="103" t="s">
        <v>359</v>
      </c>
      <c r="F1001" s="48" t="s">
        <v>378</v>
      </c>
      <c r="G1001" s="49">
        <v>294</v>
      </c>
      <c r="H1001" s="50">
        <v>0</v>
      </c>
      <c r="I1001" s="50">
        <v>0</v>
      </c>
      <c r="J1001" s="50">
        <v>0</v>
      </c>
      <c r="K1001" s="50">
        <f t="shared" si="78"/>
        <v>0</v>
      </c>
      <c r="L1001" s="52">
        <f t="shared" si="79"/>
        <v>0</v>
      </c>
    </row>
    <row r="1002" spans="3:12" s="53" customFormat="1" ht="31.15" customHeight="1">
      <c r="C1002" s="154" t="s">
        <v>774</v>
      </c>
      <c r="D1002" s="47" t="s">
        <v>766</v>
      </c>
      <c r="E1002" s="103" t="s">
        <v>359</v>
      </c>
      <c r="F1002" s="48" t="s">
        <v>378</v>
      </c>
      <c r="G1002" s="49">
        <v>75</v>
      </c>
      <c r="H1002" s="50">
        <v>0</v>
      </c>
      <c r="I1002" s="50">
        <v>0</v>
      </c>
      <c r="J1002" s="50">
        <v>0</v>
      </c>
      <c r="K1002" s="50">
        <f>+H1002+I1002+J1002</f>
        <v>0</v>
      </c>
      <c r="L1002" s="52">
        <f>+K1002*G1002</f>
        <v>0</v>
      </c>
    </row>
    <row r="1003" spans="3:12" s="53" customFormat="1" ht="31.15" customHeight="1">
      <c r="C1003" s="154" t="s">
        <v>776</v>
      </c>
      <c r="D1003" s="47" t="s">
        <v>767</v>
      </c>
      <c r="E1003" s="103" t="s">
        <v>359</v>
      </c>
      <c r="F1003" s="48" t="s">
        <v>378</v>
      </c>
      <c r="G1003" s="49">
        <v>16</v>
      </c>
      <c r="H1003" s="50">
        <v>0</v>
      </c>
      <c r="I1003" s="50">
        <v>0</v>
      </c>
      <c r="J1003" s="50">
        <v>0</v>
      </c>
      <c r="K1003" s="50">
        <f>+H1003+I1003+J1003</f>
        <v>0</v>
      </c>
      <c r="L1003" s="52">
        <f>+K1003*G1003</f>
        <v>0</v>
      </c>
    </row>
    <row r="1004" spans="3:12" s="53" customFormat="1" ht="31.15" customHeight="1">
      <c r="C1004" s="154" t="s">
        <v>835</v>
      </c>
      <c r="D1004" s="47" t="s">
        <v>915</v>
      </c>
      <c r="E1004" s="103" t="s">
        <v>359</v>
      </c>
      <c r="F1004" s="48" t="s">
        <v>378</v>
      </c>
      <c r="G1004" s="49">
        <v>205</v>
      </c>
      <c r="H1004" s="50">
        <v>0</v>
      </c>
      <c r="I1004" s="50">
        <v>0</v>
      </c>
      <c r="J1004" s="50">
        <v>0</v>
      </c>
      <c r="K1004" s="50">
        <f t="shared" si="78"/>
        <v>0</v>
      </c>
      <c r="L1004" s="52">
        <f t="shared" si="79"/>
        <v>0</v>
      </c>
    </row>
    <row r="1005" spans="3:12" s="35" customFormat="1">
      <c r="C1005" s="70"/>
      <c r="D1005" s="57"/>
      <c r="E1005" s="58"/>
      <c r="F1005" s="58"/>
      <c r="G1005" s="55"/>
      <c r="H1005" s="104"/>
      <c r="I1005" s="104"/>
      <c r="J1005" s="104"/>
      <c r="K1005" s="104"/>
      <c r="L1005" s="105"/>
    </row>
    <row r="1006" spans="3:12" s="35" customFormat="1" ht="40.15" customHeight="1">
      <c r="C1006" s="25" t="s">
        <v>55</v>
      </c>
      <c r="D1006" s="26" t="s">
        <v>56</v>
      </c>
      <c r="E1006" s="27"/>
      <c r="F1006" s="28"/>
      <c r="G1006" s="29"/>
      <c r="H1006" s="30"/>
      <c r="I1006" s="31"/>
      <c r="J1006" s="31"/>
      <c r="K1006" s="32"/>
      <c r="L1006" s="33"/>
    </row>
    <row r="1007" spans="3:12" s="107" customFormat="1" ht="32.450000000000003" customHeight="1">
      <c r="C1007" s="154" t="s">
        <v>57</v>
      </c>
      <c r="D1007" s="47" t="s">
        <v>928</v>
      </c>
      <c r="E1007" s="103" t="s">
        <v>359</v>
      </c>
      <c r="F1007" s="48" t="s">
        <v>378</v>
      </c>
      <c r="G1007" s="106">
        <v>38</v>
      </c>
      <c r="H1007" s="50">
        <v>0</v>
      </c>
      <c r="I1007" s="50">
        <v>0</v>
      </c>
      <c r="J1007" s="50">
        <v>0</v>
      </c>
      <c r="K1007" s="50">
        <f t="shared" ref="K1007:K1012" si="80">+H1007+I1007+J1007</f>
        <v>0</v>
      </c>
      <c r="L1007" s="52">
        <f t="shared" ref="L1007:L1012" si="81">+K1007*G1007</f>
        <v>0</v>
      </c>
    </row>
    <row r="1008" spans="3:12" s="107" customFormat="1" ht="32.450000000000003" customHeight="1">
      <c r="C1008" s="154" t="s">
        <v>58</v>
      </c>
      <c r="D1008" s="47" t="s">
        <v>929</v>
      </c>
      <c r="E1008" s="103" t="s">
        <v>359</v>
      </c>
      <c r="F1008" s="48" t="s">
        <v>378</v>
      </c>
      <c r="G1008" s="106">
        <v>12</v>
      </c>
      <c r="H1008" s="50">
        <v>0</v>
      </c>
      <c r="I1008" s="50">
        <v>0</v>
      </c>
      <c r="J1008" s="50">
        <v>0</v>
      </c>
      <c r="K1008" s="50">
        <f t="shared" si="80"/>
        <v>0</v>
      </c>
      <c r="L1008" s="52">
        <f t="shared" si="81"/>
        <v>0</v>
      </c>
    </row>
    <row r="1009" spans="3:12" s="107" customFormat="1" ht="32.450000000000003" customHeight="1">
      <c r="C1009" s="154" t="s">
        <v>152</v>
      </c>
      <c r="D1009" s="47" t="s">
        <v>930</v>
      </c>
      <c r="E1009" s="103" t="s">
        <v>359</v>
      </c>
      <c r="F1009" s="48" t="s">
        <v>378</v>
      </c>
      <c r="G1009" s="106">
        <v>140</v>
      </c>
      <c r="H1009" s="50">
        <v>0</v>
      </c>
      <c r="I1009" s="50">
        <v>0</v>
      </c>
      <c r="J1009" s="50">
        <v>0</v>
      </c>
      <c r="K1009" s="50">
        <f t="shared" si="80"/>
        <v>0</v>
      </c>
      <c r="L1009" s="52">
        <f t="shared" si="81"/>
        <v>0</v>
      </c>
    </row>
    <row r="1010" spans="3:12" s="53" customFormat="1" ht="32.450000000000003" customHeight="1">
      <c r="C1010" s="154" t="s">
        <v>59</v>
      </c>
      <c r="D1010" s="47" t="s">
        <v>931</v>
      </c>
      <c r="E1010" s="103" t="s">
        <v>359</v>
      </c>
      <c r="F1010" s="48" t="s">
        <v>378</v>
      </c>
      <c r="G1010" s="49">
        <f>+G1033+2*G1040+2*G1041</f>
        <v>11</v>
      </c>
      <c r="H1010" s="50">
        <v>0</v>
      </c>
      <c r="I1010" s="50">
        <v>0</v>
      </c>
      <c r="J1010" s="50">
        <v>0</v>
      </c>
      <c r="K1010" s="50">
        <f t="shared" si="80"/>
        <v>0</v>
      </c>
      <c r="L1010" s="52">
        <f t="shared" si="81"/>
        <v>0</v>
      </c>
    </row>
    <row r="1011" spans="3:12" s="53" customFormat="1" ht="32.450000000000003" customHeight="1">
      <c r="C1011" s="154" t="s">
        <v>833</v>
      </c>
      <c r="D1011" s="47" t="s">
        <v>149</v>
      </c>
      <c r="E1011" s="103" t="s">
        <v>359</v>
      </c>
      <c r="F1011" s="48" t="s">
        <v>378</v>
      </c>
      <c r="G1011" s="49">
        <v>1</v>
      </c>
      <c r="H1011" s="50">
        <v>0</v>
      </c>
      <c r="I1011" s="50">
        <v>0</v>
      </c>
      <c r="J1011" s="50">
        <v>0</v>
      </c>
      <c r="K1011" s="50">
        <f t="shared" si="80"/>
        <v>0</v>
      </c>
      <c r="L1011" s="52">
        <f t="shared" si="81"/>
        <v>0</v>
      </c>
    </row>
    <row r="1012" spans="3:12" s="53" customFormat="1" ht="32.450000000000003" customHeight="1">
      <c r="C1012" s="154" t="s">
        <v>834</v>
      </c>
      <c r="D1012" s="47" t="s">
        <v>760</v>
      </c>
      <c r="E1012" s="103" t="s">
        <v>359</v>
      </c>
      <c r="F1012" s="48" t="s">
        <v>378</v>
      </c>
      <c r="G1012" s="49">
        <v>5</v>
      </c>
      <c r="H1012" s="50">
        <v>0</v>
      </c>
      <c r="I1012" s="50">
        <v>0</v>
      </c>
      <c r="J1012" s="50">
        <v>0</v>
      </c>
      <c r="K1012" s="50">
        <f t="shared" si="80"/>
        <v>0</v>
      </c>
      <c r="L1012" s="52">
        <f t="shared" si="81"/>
        <v>0</v>
      </c>
    </row>
    <row r="1013" spans="3:12" s="53" customFormat="1" ht="32.450000000000003" customHeight="1">
      <c r="C1013" s="154"/>
      <c r="D1013" s="47"/>
      <c r="E1013" s="103"/>
      <c r="F1013" s="48"/>
      <c r="G1013" s="49"/>
      <c r="H1013" s="50"/>
      <c r="I1013" s="50"/>
      <c r="J1013" s="50"/>
      <c r="K1013" s="50"/>
      <c r="L1013" s="52"/>
    </row>
    <row r="1014" spans="3:12" s="35" customFormat="1" ht="39.950000000000003" customHeight="1">
      <c r="C1014" s="62"/>
      <c r="D1014" s="63" t="s">
        <v>882</v>
      </c>
      <c r="E1014" s="64"/>
      <c r="F1014" s="65"/>
      <c r="G1014" s="66"/>
      <c r="H1014" s="67">
        <f>SUMPRODUCT(G991:G1012,H991:H1012)</f>
        <v>0</v>
      </c>
      <c r="I1014" s="67">
        <f>SUMPRODUCT(G991:G1012,I991:I1012)</f>
        <v>0</v>
      </c>
      <c r="J1014" s="67">
        <f>SUMPRODUCT(G991:G1012,J991:J1012)</f>
        <v>0</v>
      </c>
      <c r="K1014" s="68"/>
      <c r="L1014" s="69">
        <f>SUM(L991:L1012)</f>
        <v>0</v>
      </c>
    </row>
    <row r="1015" spans="3:12" s="35" customFormat="1">
      <c r="C1015" s="70"/>
      <c r="D1015" s="57"/>
      <c r="E1015" s="58"/>
      <c r="F1015" s="58"/>
      <c r="G1015" s="55"/>
      <c r="H1015" s="51"/>
      <c r="I1015" s="56"/>
      <c r="J1015" s="56"/>
      <c r="K1015" s="51"/>
      <c r="L1015" s="59"/>
    </row>
    <row r="1016" spans="3:12" s="35" customFormat="1" ht="37.5">
      <c r="C1016" s="25" t="s">
        <v>9</v>
      </c>
      <c r="D1016" s="26" t="s">
        <v>858</v>
      </c>
      <c r="E1016" s="27"/>
      <c r="F1016" s="28"/>
      <c r="G1016" s="29"/>
      <c r="H1016" s="30"/>
      <c r="I1016" s="31"/>
      <c r="J1016" s="31"/>
      <c r="K1016" s="32"/>
      <c r="L1016" s="33"/>
    </row>
    <row r="1017" spans="3:12" s="78" customFormat="1">
      <c r="C1017" s="60"/>
      <c r="D1017" s="39"/>
      <c r="E1017" s="40"/>
      <c r="F1017" s="76"/>
      <c r="G1017" s="108"/>
      <c r="H1017" s="92"/>
      <c r="I1017" s="109"/>
      <c r="J1017" s="109"/>
      <c r="K1017" s="92"/>
      <c r="L1017" s="93"/>
    </row>
    <row r="1018" spans="3:12" s="78" customFormat="1" ht="31.9" customHeight="1">
      <c r="C1018" s="60" t="s">
        <v>249</v>
      </c>
      <c r="D1018" s="111" t="s">
        <v>757</v>
      </c>
      <c r="E1018" s="91" t="s">
        <v>845</v>
      </c>
      <c r="F1018" s="48" t="s">
        <v>378</v>
      </c>
      <c r="G1018" s="77">
        <v>124</v>
      </c>
      <c r="H1018" s="50">
        <v>0</v>
      </c>
      <c r="I1018" s="54">
        <v>0</v>
      </c>
      <c r="J1018" s="50">
        <v>0</v>
      </c>
      <c r="K1018" s="50">
        <f t="shared" ref="K1018:K1028" si="82">+H1018+I1018+J1018</f>
        <v>0</v>
      </c>
      <c r="L1018" s="52">
        <f t="shared" ref="L1018:L1028" si="83">+K1018*G1018</f>
        <v>0</v>
      </c>
    </row>
    <row r="1019" spans="3:12" s="78" customFormat="1" ht="31.9" customHeight="1">
      <c r="C1019" s="60" t="s">
        <v>252</v>
      </c>
      <c r="D1019" s="111" t="s">
        <v>759</v>
      </c>
      <c r="E1019" s="91" t="s">
        <v>845</v>
      </c>
      <c r="F1019" s="48" t="s">
        <v>378</v>
      </c>
      <c r="G1019" s="77">
        <v>3</v>
      </c>
      <c r="H1019" s="50">
        <v>0</v>
      </c>
      <c r="I1019" s="54">
        <v>0</v>
      </c>
      <c r="J1019" s="50">
        <v>0</v>
      </c>
      <c r="K1019" s="50">
        <f>+H1019+I1019+J1019</f>
        <v>0</v>
      </c>
      <c r="L1019" s="52">
        <f>+K1019*G1019</f>
        <v>0</v>
      </c>
    </row>
    <row r="1020" spans="3:12" s="78" customFormat="1" ht="31.9" customHeight="1">
      <c r="C1020" s="60" t="s">
        <v>859</v>
      </c>
      <c r="D1020" s="111" t="s">
        <v>758</v>
      </c>
      <c r="E1020" s="91" t="s">
        <v>845</v>
      </c>
      <c r="F1020" s="48" t="s">
        <v>378</v>
      </c>
      <c r="G1020" s="77">
        <v>9</v>
      </c>
      <c r="H1020" s="50">
        <v>0</v>
      </c>
      <c r="I1020" s="54">
        <v>0</v>
      </c>
      <c r="J1020" s="50">
        <v>0</v>
      </c>
      <c r="K1020" s="50">
        <f>+H1020+I1020+J1020</f>
        <v>0</v>
      </c>
      <c r="L1020" s="52">
        <f>+K1020*G1020</f>
        <v>0</v>
      </c>
    </row>
    <row r="1021" spans="3:12" s="78" customFormat="1" ht="31.9" customHeight="1">
      <c r="C1021" s="60" t="s">
        <v>860</v>
      </c>
      <c r="D1021" s="111" t="s">
        <v>2321</v>
      </c>
      <c r="E1021" s="91" t="s">
        <v>900</v>
      </c>
      <c r="F1021" s="48" t="s">
        <v>378</v>
      </c>
      <c r="G1021" s="77">
        <v>5</v>
      </c>
      <c r="H1021" s="50">
        <v>0</v>
      </c>
      <c r="I1021" s="54">
        <v>0</v>
      </c>
      <c r="J1021" s="50">
        <v>0</v>
      </c>
      <c r="K1021" s="50">
        <f t="shared" si="82"/>
        <v>0</v>
      </c>
      <c r="L1021" s="52">
        <f t="shared" si="83"/>
        <v>0</v>
      </c>
    </row>
    <row r="1022" spans="3:12" s="78" customFormat="1" ht="31.9" customHeight="1">
      <c r="C1022" s="60" t="s">
        <v>861</v>
      </c>
      <c r="D1022" s="111" t="s">
        <v>2322</v>
      </c>
      <c r="E1022" s="91" t="s">
        <v>900</v>
      </c>
      <c r="F1022" s="48" t="s">
        <v>378</v>
      </c>
      <c r="G1022" s="77">
        <v>4</v>
      </c>
      <c r="H1022" s="50">
        <v>0</v>
      </c>
      <c r="I1022" s="54">
        <v>0</v>
      </c>
      <c r="J1022" s="50">
        <v>0</v>
      </c>
      <c r="K1022" s="50">
        <f t="shared" si="82"/>
        <v>0</v>
      </c>
      <c r="L1022" s="52">
        <f t="shared" si="83"/>
        <v>0</v>
      </c>
    </row>
    <row r="1023" spans="3:12" s="78" customFormat="1" ht="31.9" customHeight="1">
      <c r="C1023" s="60" t="s">
        <v>862</v>
      </c>
      <c r="D1023" s="111" t="s">
        <v>2313</v>
      </c>
      <c r="E1023" s="91" t="s">
        <v>900</v>
      </c>
      <c r="F1023" s="48" t="s">
        <v>378</v>
      </c>
      <c r="G1023" s="77">
        <v>1</v>
      </c>
      <c r="H1023" s="50">
        <v>0</v>
      </c>
      <c r="I1023" s="54">
        <v>0</v>
      </c>
      <c r="J1023" s="50">
        <v>0</v>
      </c>
      <c r="K1023" s="50">
        <f>+H1023+I1023+J1023</f>
        <v>0</v>
      </c>
      <c r="L1023" s="52">
        <f>+K1023*G1023</f>
        <v>0</v>
      </c>
    </row>
    <row r="1024" spans="3:12" s="78" customFormat="1" ht="31.9" customHeight="1">
      <c r="C1024" s="60" t="s">
        <v>863</v>
      </c>
      <c r="D1024" s="111" t="s">
        <v>2314</v>
      </c>
      <c r="E1024" s="91" t="s">
        <v>900</v>
      </c>
      <c r="F1024" s="48" t="s">
        <v>378</v>
      </c>
      <c r="G1024" s="77">
        <v>20</v>
      </c>
      <c r="H1024" s="50">
        <v>0</v>
      </c>
      <c r="I1024" s="54">
        <v>0</v>
      </c>
      <c r="J1024" s="50">
        <v>0</v>
      </c>
      <c r="K1024" s="50">
        <f t="shared" si="82"/>
        <v>0</v>
      </c>
      <c r="L1024" s="52">
        <f t="shared" si="83"/>
        <v>0</v>
      </c>
    </row>
    <row r="1025" spans="3:12" s="78" customFormat="1" ht="31.9" customHeight="1">
      <c r="C1025" s="60" t="s">
        <v>864</v>
      </c>
      <c r="D1025" s="111" t="s">
        <v>2315</v>
      </c>
      <c r="E1025" s="91" t="s">
        <v>900</v>
      </c>
      <c r="F1025" s="48" t="s">
        <v>378</v>
      </c>
      <c r="G1025" s="77">
        <v>4</v>
      </c>
      <c r="H1025" s="50">
        <v>0</v>
      </c>
      <c r="I1025" s="54">
        <v>0</v>
      </c>
      <c r="J1025" s="50">
        <v>0</v>
      </c>
      <c r="K1025" s="50">
        <f>+H1025+I1025+J1025</f>
        <v>0</v>
      </c>
      <c r="L1025" s="52">
        <f>+K1025*G1025</f>
        <v>0</v>
      </c>
    </row>
    <row r="1026" spans="3:12" s="78" customFormat="1" ht="31.9" customHeight="1">
      <c r="C1026" s="60" t="s">
        <v>865</v>
      </c>
      <c r="D1026" s="111" t="s">
        <v>246</v>
      </c>
      <c r="E1026" s="91" t="s">
        <v>900</v>
      </c>
      <c r="F1026" s="48" t="s">
        <v>378</v>
      </c>
      <c r="G1026" s="77">
        <v>1</v>
      </c>
      <c r="H1026" s="50">
        <v>0</v>
      </c>
      <c r="I1026" s="54">
        <v>0</v>
      </c>
      <c r="J1026" s="50">
        <v>0</v>
      </c>
      <c r="K1026" s="50">
        <f t="shared" si="82"/>
        <v>0</v>
      </c>
      <c r="L1026" s="52">
        <f t="shared" si="83"/>
        <v>0</v>
      </c>
    </row>
    <row r="1027" spans="3:12" s="78" customFormat="1" ht="31.9" customHeight="1">
      <c r="C1027" s="60" t="s">
        <v>866</v>
      </c>
      <c r="D1027" s="111" t="s">
        <v>247</v>
      </c>
      <c r="E1027" s="91" t="s">
        <v>900</v>
      </c>
      <c r="F1027" s="48" t="s">
        <v>378</v>
      </c>
      <c r="G1027" s="77">
        <v>1</v>
      </c>
      <c r="H1027" s="50">
        <v>0</v>
      </c>
      <c r="I1027" s="54">
        <v>0</v>
      </c>
      <c r="J1027" s="50">
        <v>0</v>
      </c>
      <c r="K1027" s="50">
        <f t="shared" si="82"/>
        <v>0</v>
      </c>
      <c r="L1027" s="52">
        <f t="shared" si="83"/>
        <v>0</v>
      </c>
    </row>
    <row r="1028" spans="3:12" s="78" customFormat="1" ht="31.9" customHeight="1">
      <c r="C1028" s="60" t="s">
        <v>867</v>
      </c>
      <c r="D1028" s="111" t="s">
        <v>248</v>
      </c>
      <c r="E1028" s="91" t="s">
        <v>900</v>
      </c>
      <c r="F1028" s="48" t="s">
        <v>378</v>
      </c>
      <c r="G1028" s="77">
        <v>1</v>
      </c>
      <c r="H1028" s="50">
        <v>0</v>
      </c>
      <c r="I1028" s="54">
        <v>0</v>
      </c>
      <c r="J1028" s="50">
        <v>0</v>
      </c>
      <c r="K1028" s="50">
        <f t="shared" si="82"/>
        <v>0</v>
      </c>
      <c r="L1028" s="52">
        <f t="shared" si="83"/>
        <v>0</v>
      </c>
    </row>
    <row r="1029" spans="3:12" s="78" customFormat="1" ht="28.15" customHeight="1">
      <c r="C1029" s="60" t="s">
        <v>868</v>
      </c>
      <c r="D1029" s="111" t="s">
        <v>2317</v>
      </c>
      <c r="E1029" s="91" t="s">
        <v>900</v>
      </c>
      <c r="F1029" s="48" t="s">
        <v>378</v>
      </c>
      <c r="G1029" s="77">
        <v>11</v>
      </c>
      <c r="H1029" s="50">
        <v>0</v>
      </c>
      <c r="I1029" s="54">
        <v>0</v>
      </c>
      <c r="J1029" s="50">
        <v>0</v>
      </c>
      <c r="K1029" s="50">
        <f t="shared" ref="K1029:K1041" si="84">+H1029+I1029+J1029</f>
        <v>0</v>
      </c>
      <c r="L1029" s="52">
        <f t="shared" ref="L1029:L1041" si="85">+K1029*G1029</f>
        <v>0</v>
      </c>
    </row>
    <row r="1030" spans="3:12" s="78" customFormat="1" ht="28.15" customHeight="1">
      <c r="C1030" s="60" t="s">
        <v>869</v>
      </c>
      <c r="D1030" s="111" t="s">
        <v>2318</v>
      </c>
      <c r="E1030" s="91" t="s">
        <v>900</v>
      </c>
      <c r="F1030" s="48" t="s">
        <v>378</v>
      </c>
      <c r="G1030" s="77">
        <v>21</v>
      </c>
      <c r="H1030" s="50">
        <v>0</v>
      </c>
      <c r="I1030" s="54">
        <v>0</v>
      </c>
      <c r="J1030" s="50">
        <v>0</v>
      </c>
      <c r="K1030" s="50">
        <f t="shared" si="84"/>
        <v>0</v>
      </c>
      <c r="L1030" s="52">
        <f t="shared" si="85"/>
        <v>0</v>
      </c>
    </row>
    <row r="1031" spans="3:12" s="78" customFormat="1" ht="28.15" customHeight="1">
      <c r="C1031" s="60" t="s">
        <v>870</v>
      </c>
      <c r="D1031" s="111" t="s">
        <v>250</v>
      </c>
      <c r="E1031" s="91" t="s">
        <v>900</v>
      </c>
      <c r="F1031" s="48" t="s">
        <v>378</v>
      </c>
      <c r="G1031" s="77">
        <v>149</v>
      </c>
      <c r="H1031" s="50">
        <v>0</v>
      </c>
      <c r="I1031" s="54">
        <v>0</v>
      </c>
      <c r="J1031" s="50">
        <v>0</v>
      </c>
      <c r="K1031" s="50">
        <f t="shared" si="84"/>
        <v>0</v>
      </c>
      <c r="L1031" s="52">
        <f t="shared" si="85"/>
        <v>0</v>
      </c>
    </row>
    <row r="1032" spans="3:12" s="78" customFormat="1" ht="28.15" customHeight="1">
      <c r="C1032" s="60" t="s">
        <v>871</v>
      </c>
      <c r="D1032" s="111" t="s">
        <v>2323</v>
      </c>
      <c r="E1032" s="91" t="s">
        <v>900</v>
      </c>
      <c r="F1032" s="48" t="s">
        <v>378</v>
      </c>
      <c r="G1032" s="77">
        <v>1</v>
      </c>
      <c r="H1032" s="50">
        <v>0</v>
      </c>
      <c r="I1032" s="54">
        <v>0</v>
      </c>
      <c r="J1032" s="50">
        <v>0</v>
      </c>
      <c r="K1032" s="50">
        <f t="shared" si="84"/>
        <v>0</v>
      </c>
      <c r="L1032" s="52">
        <f t="shared" si="85"/>
        <v>0</v>
      </c>
    </row>
    <row r="1033" spans="3:12" s="78" customFormat="1" ht="28.15" customHeight="1">
      <c r="C1033" s="60" t="s">
        <v>872</v>
      </c>
      <c r="D1033" s="111" t="s">
        <v>2324</v>
      </c>
      <c r="E1033" s="91" t="s">
        <v>900</v>
      </c>
      <c r="F1033" s="48" t="s">
        <v>378</v>
      </c>
      <c r="G1033" s="77">
        <v>1</v>
      </c>
      <c r="H1033" s="50">
        <v>0</v>
      </c>
      <c r="I1033" s="54">
        <v>0</v>
      </c>
      <c r="J1033" s="50">
        <v>0</v>
      </c>
      <c r="K1033" s="50">
        <f t="shared" si="84"/>
        <v>0</v>
      </c>
      <c r="L1033" s="52">
        <f t="shared" si="85"/>
        <v>0</v>
      </c>
    </row>
    <row r="1034" spans="3:12" s="78" customFormat="1" ht="57" customHeight="1">
      <c r="C1034" s="60" t="s">
        <v>873</v>
      </c>
      <c r="D1034" s="160" t="s">
        <v>896</v>
      </c>
      <c r="E1034" s="110" t="s">
        <v>360</v>
      </c>
      <c r="F1034" s="48" t="s">
        <v>378</v>
      </c>
      <c r="G1034" s="77">
        <v>10</v>
      </c>
      <c r="H1034" s="50">
        <v>0</v>
      </c>
      <c r="I1034" s="54">
        <v>0</v>
      </c>
      <c r="J1034" s="50">
        <v>0</v>
      </c>
      <c r="K1034" s="50">
        <f t="shared" si="84"/>
        <v>0</v>
      </c>
      <c r="L1034" s="52">
        <f t="shared" si="85"/>
        <v>0</v>
      </c>
    </row>
    <row r="1035" spans="3:12" s="78" customFormat="1" ht="28.15" customHeight="1">
      <c r="C1035" s="60" t="s">
        <v>874</v>
      </c>
      <c r="D1035" s="111" t="s">
        <v>251</v>
      </c>
      <c r="E1035" s="91" t="s">
        <v>900</v>
      </c>
      <c r="F1035" s="48" t="s">
        <v>378</v>
      </c>
      <c r="G1035" s="77">
        <v>1</v>
      </c>
      <c r="H1035" s="50">
        <v>0</v>
      </c>
      <c r="I1035" s="54">
        <v>0</v>
      </c>
      <c r="J1035" s="50">
        <v>0</v>
      </c>
      <c r="K1035" s="50">
        <f t="shared" si="84"/>
        <v>0</v>
      </c>
      <c r="L1035" s="52">
        <f t="shared" si="85"/>
        <v>0</v>
      </c>
    </row>
    <row r="1036" spans="3:12" s="78" customFormat="1" ht="28.15" customHeight="1">
      <c r="C1036" s="60" t="s">
        <v>875</v>
      </c>
      <c r="D1036" s="111" t="s">
        <v>750</v>
      </c>
      <c r="E1036" s="91" t="s">
        <v>900</v>
      </c>
      <c r="F1036" s="48" t="s">
        <v>378</v>
      </c>
      <c r="G1036" s="77">
        <v>6</v>
      </c>
      <c r="H1036" s="50">
        <v>0</v>
      </c>
      <c r="I1036" s="54">
        <v>0</v>
      </c>
      <c r="J1036" s="50">
        <v>0</v>
      </c>
      <c r="K1036" s="50">
        <f t="shared" si="84"/>
        <v>0</v>
      </c>
      <c r="L1036" s="52">
        <f t="shared" si="85"/>
        <v>0</v>
      </c>
    </row>
    <row r="1037" spans="3:12" s="78" customFormat="1" ht="28.15" customHeight="1">
      <c r="C1037" s="60" t="s">
        <v>876</v>
      </c>
      <c r="D1037" s="111" t="s">
        <v>751</v>
      </c>
      <c r="E1037" s="91" t="s">
        <v>900</v>
      </c>
      <c r="F1037" s="48" t="s">
        <v>378</v>
      </c>
      <c r="G1037" s="77">
        <v>10</v>
      </c>
      <c r="H1037" s="50">
        <v>0</v>
      </c>
      <c r="I1037" s="54">
        <v>0</v>
      </c>
      <c r="J1037" s="50">
        <v>0</v>
      </c>
      <c r="K1037" s="50">
        <f t="shared" si="84"/>
        <v>0</v>
      </c>
      <c r="L1037" s="52">
        <f t="shared" si="85"/>
        <v>0</v>
      </c>
    </row>
    <row r="1038" spans="3:12" s="78" customFormat="1" ht="28.15" customHeight="1">
      <c r="C1038" s="60" t="s">
        <v>877</v>
      </c>
      <c r="D1038" s="111" t="s">
        <v>752</v>
      </c>
      <c r="E1038" s="91" t="s">
        <v>900</v>
      </c>
      <c r="F1038" s="48" t="s">
        <v>378</v>
      </c>
      <c r="G1038" s="77">
        <v>9</v>
      </c>
      <c r="H1038" s="50">
        <v>0</v>
      </c>
      <c r="I1038" s="54">
        <v>0</v>
      </c>
      <c r="J1038" s="50">
        <v>0</v>
      </c>
      <c r="K1038" s="50">
        <f>+H1038+I1038+J1038</f>
        <v>0</v>
      </c>
      <c r="L1038" s="52">
        <f>+K1038*G1038</f>
        <v>0</v>
      </c>
    </row>
    <row r="1039" spans="3:12" s="78" customFormat="1" ht="28.15" customHeight="1">
      <c r="C1039" s="60" t="s">
        <v>878</v>
      </c>
      <c r="D1039" s="111" t="s">
        <v>753</v>
      </c>
      <c r="E1039" s="91" t="s">
        <v>900</v>
      </c>
      <c r="F1039" s="48" t="s">
        <v>378</v>
      </c>
      <c r="G1039" s="77">
        <v>1</v>
      </c>
      <c r="H1039" s="50">
        <v>0</v>
      </c>
      <c r="I1039" s="54">
        <v>0</v>
      </c>
      <c r="J1039" s="50">
        <v>0</v>
      </c>
      <c r="K1039" s="50">
        <f t="shared" si="84"/>
        <v>0</v>
      </c>
      <c r="L1039" s="52">
        <f t="shared" si="85"/>
        <v>0</v>
      </c>
    </row>
    <row r="1040" spans="3:12" s="78" customFormat="1" ht="28.15" customHeight="1">
      <c r="C1040" s="60" t="s">
        <v>879</v>
      </c>
      <c r="D1040" s="111" t="s">
        <v>754</v>
      </c>
      <c r="E1040" s="91" t="s">
        <v>900</v>
      </c>
      <c r="F1040" s="48" t="s">
        <v>378</v>
      </c>
      <c r="G1040" s="77">
        <v>4</v>
      </c>
      <c r="H1040" s="50">
        <v>0</v>
      </c>
      <c r="I1040" s="54">
        <v>0</v>
      </c>
      <c r="J1040" s="50">
        <v>0</v>
      </c>
      <c r="K1040" s="50">
        <f t="shared" si="84"/>
        <v>0</v>
      </c>
      <c r="L1040" s="52">
        <f t="shared" si="85"/>
        <v>0</v>
      </c>
    </row>
    <row r="1041" spans="3:12" s="78" customFormat="1" ht="28.15" customHeight="1">
      <c r="C1041" s="60" t="s">
        <v>880</v>
      </c>
      <c r="D1041" s="111" t="s">
        <v>755</v>
      </c>
      <c r="E1041" s="91" t="s">
        <v>900</v>
      </c>
      <c r="F1041" s="48" t="s">
        <v>378</v>
      </c>
      <c r="G1041" s="77">
        <v>1</v>
      </c>
      <c r="H1041" s="50">
        <v>0</v>
      </c>
      <c r="I1041" s="54">
        <v>0</v>
      </c>
      <c r="J1041" s="50">
        <v>0</v>
      </c>
      <c r="K1041" s="50">
        <f t="shared" si="84"/>
        <v>0</v>
      </c>
      <c r="L1041" s="52">
        <f t="shared" si="85"/>
        <v>0</v>
      </c>
    </row>
    <row r="1042" spans="3:12" s="78" customFormat="1" ht="28.15" customHeight="1">
      <c r="C1042" s="60"/>
      <c r="D1042" s="111"/>
      <c r="E1042" s="91"/>
      <c r="F1042" s="48"/>
      <c r="G1042" s="77"/>
      <c r="H1042" s="50"/>
      <c r="I1042" s="54"/>
      <c r="J1042" s="50"/>
      <c r="K1042" s="50"/>
      <c r="L1042" s="52"/>
    </row>
    <row r="1043" spans="3:12" s="35" customFormat="1" ht="45" customHeight="1">
      <c r="C1043" s="62"/>
      <c r="D1043" s="63" t="s">
        <v>756</v>
      </c>
      <c r="E1043" s="64"/>
      <c r="F1043" s="65"/>
      <c r="G1043" s="66"/>
      <c r="H1043" s="67">
        <f>SUMPRODUCT(G1018:G1041,H1018:H1041)</f>
        <v>0</v>
      </c>
      <c r="I1043" s="67">
        <f>SUMPRODUCT(G1018:G1041,I1018:I1041)</f>
        <v>0</v>
      </c>
      <c r="J1043" s="67">
        <f>SUMPRODUCT(G1018:G1041,J1018:J1041)</f>
        <v>0</v>
      </c>
      <c r="K1043" s="68"/>
      <c r="L1043" s="69">
        <f>SUM(L1018:L1041)</f>
        <v>0</v>
      </c>
    </row>
    <row r="1044" spans="3:12" s="35" customFormat="1">
      <c r="C1044" s="94"/>
      <c r="D1044" s="95"/>
      <c r="E1044" s="96"/>
      <c r="F1044" s="97"/>
      <c r="G1044" s="98"/>
      <c r="H1044" s="99"/>
      <c r="I1044" s="102"/>
      <c r="J1044" s="102"/>
      <c r="K1044" s="100"/>
      <c r="L1044" s="101"/>
    </row>
    <row r="1045" spans="3:12" s="35" customFormat="1" ht="30" customHeight="1">
      <c r="C1045" s="25" t="s">
        <v>10</v>
      </c>
      <c r="D1045" s="26" t="s">
        <v>575</v>
      </c>
      <c r="E1045" s="27"/>
      <c r="F1045" s="28"/>
      <c r="G1045" s="29"/>
      <c r="H1045" s="30"/>
      <c r="I1045" s="31"/>
      <c r="J1045" s="31"/>
      <c r="K1045" s="32"/>
      <c r="L1045" s="33"/>
    </row>
    <row r="1046" spans="3:12" s="35" customFormat="1" ht="18.600000000000001" customHeight="1">
      <c r="C1046" s="25"/>
      <c r="D1046" s="26"/>
      <c r="E1046" s="27"/>
      <c r="F1046" s="28"/>
      <c r="G1046" s="29"/>
      <c r="H1046" s="30"/>
      <c r="I1046" s="31"/>
      <c r="J1046" s="31"/>
      <c r="K1046" s="32"/>
      <c r="L1046" s="33"/>
    </row>
    <row r="1047" spans="3:12" s="78" customFormat="1" ht="28.9" customHeight="1">
      <c r="C1047" s="60" t="s">
        <v>490</v>
      </c>
      <c r="D1047" s="111" t="s">
        <v>468</v>
      </c>
      <c r="E1047" s="91"/>
      <c r="F1047" s="48"/>
      <c r="G1047" s="77"/>
      <c r="H1047" s="50"/>
      <c r="I1047" s="54"/>
      <c r="J1047" s="50"/>
      <c r="K1047" s="50"/>
      <c r="L1047" s="52"/>
    </row>
    <row r="1048" spans="3:12" s="78" customFormat="1" ht="28.9" customHeight="1">
      <c r="C1048" s="60"/>
      <c r="D1048" s="111"/>
      <c r="E1048" s="91"/>
      <c r="F1048" s="48"/>
      <c r="G1048" s="77"/>
      <c r="H1048" s="50"/>
      <c r="I1048" s="54"/>
      <c r="J1048" s="50"/>
      <c r="K1048" s="50"/>
      <c r="L1048" s="52"/>
    </row>
    <row r="1049" spans="3:12" s="78" customFormat="1" ht="28.9" customHeight="1">
      <c r="C1049" s="60" t="s">
        <v>273</v>
      </c>
      <c r="D1049" s="111" t="s">
        <v>469</v>
      </c>
      <c r="E1049" s="91" t="s">
        <v>846</v>
      </c>
      <c r="F1049" s="48" t="s">
        <v>378</v>
      </c>
      <c r="G1049" s="77">
        <v>1</v>
      </c>
      <c r="H1049" s="50">
        <v>0</v>
      </c>
      <c r="I1049" s="56">
        <v>0</v>
      </c>
      <c r="J1049" s="50">
        <v>0</v>
      </c>
      <c r="K1049" s="50">
        <f t="shared" ref="K1049:K1054" si="86">+H1049+I1049+J1049</f>
        <v>0</v>
      </c>
      <c r="L1049" s="52">
        <f t="shared" ref="L1049:L1054" si="87">+K1049*G1049</f>
        <v>0</v>
      </c>
    </row>
    <row r="1050" spans="3:12" s="78" customFormat="1" ht="28.9" customHeight="1">
      <c r="C1050" s="60" t="s">
        <v>274</v>
      </c>
      <c r="D1050" s="160" t="s">
        <v>470</v>
      </c>
      <c r="E1050" s="91" t="s">
        <v>846</v>
      </c>
      <c r="F1050" s="48" t="s">
        <v>387</v>
      </c>
      <c r="G1050" s="77">
        <v>3</v>
      </c>
      <c r="H1050" s="50">
        <v>0</v>
      </c>
      <c r="I1050" s="56">
        <v>0</v>
      </c>
      <c r="J1050" s="50">
        <v>0</v>
      </c>
      <c r="K1050" s="50">
        <f t="shared" si="86"/>
        <v>0</v>
      </c>
      <c r="L1050" s="52">
        <f t="shared" si="87"/>
        <v>0</v>
      </c>
    </row>
    <row r="1051" spans="3:12" s="78" customFormat="1" ht="28.9" customHeight="1">
      <c r="C1051" s="60" t="s">
        <v>275</v>
      </c>
      <c r="D1051" s="111" t="s">
        <v>471</v>
      </c>
      <c r="E1051" s="91" t="s">
        <v>846</v>
      </c>
      <c r="F1051" s="48" t="s">
        <v>378</v>
      </c>
      <c r="G1051" s="77">
        <v>1</v>
      </c>
      <c r="H1051" s="50">
        <v>0</v>
      </c>
      <c r="I1051" s="56">
        <v>0</v>
      </c>
      <c r="J1051" s="50">
        <v>0</v>
      </c>
      <c r="K1051" s="50">
        <f t="shared" si="86"/>
        <v>0</v>
      </c>
      <c r="L1051" s="52">
        <f t="shared" si="87"/>
        <v>0</v>
      </c>
    </row>
    <row r="1052" spans="3:12" s="78" customFormat="1" ht="28.9" customHeight="1">
      <c r="C1052" s="60" t="s">
        <v>276</v>
      </c>
      <c r="D1052" s="111" t="s">
        <v>472</v>
      </c>
      <c r="E1052" s="91" t="s">
        <v>846</v>
      </c>
      <c r="F1052" s="48" t="s">
        <v>378</v>
      </c>
      <c r="G1052" s="77">
        <v>1</v>
      </c>
      <c r="H1052" s="50">
        <v>0</v>
      </c>
      <c r="I1052" s="56">
        <v>0</v>
      </c>
      <c r="J1052" s="50">
        <v>0</v>
      </c>
      <c r="K1052" s="50">
        <f t="shared" si="86"/>
        <v>0</v>
      </c>
      <c r="L1052" s="52">
        <f t="shared" si="87"/>
        <v>0</v>
      </c>
    </row>
    <row r="1053" spans="3:12" s="78" customFormat="1" ht="28.9" customHeight="1">
      <c r="C1053" s="60" t="s">
        <v>277</v>
      </c>
      <c r="D1053" s="111" t="s">
        <v>473</v>
      </c>
      <c r="E1053" s="91" t="s">
        <v>846</v>
      </c>
      <c r="F1053" s="48" t="s">
        <v>378</v>
      </c>
      <c r="G1053" s="77">
        <v>1</v>
      </c>
      <c r="H1053" s="50">
        <v>0</v>
      </c>
      <c r="I1053" s="56">
        <v>0</v>
      </c>
      <c r="J1053" s="50">
        <v>0</v>
      </c>
      <c r="K1053" s="50">
        <f t="shared" si="86"/>
        <v>0</v>
      </c>
      <c r="L1053" s="52">
        <f t="shared" si="87"/>
        <v>0</v>
      </c>
    </row>
    <row r="1054" spans="3:12" s="78" customFormat="1" ht="28.9" customHeight="1">
      <c r="C1054" s="60" t="s">
        <v>278</v>
      </c>
      <c r="D1054" s="111" t="s">
        <v>474</v>
      </c>
      <c r="E1054" s="91" t="s">
        <v>846</v>
      </c>
      <c r="F1054" s="48" t="s">
        <v>307</v>
      </c>
      <c r="G1054" s="77">
        <v>1</v>
      </c>
      <c r="H1054" s="50">
        <v>0</v>
      </c>
      <c r="I1054" s="56">
        <v>0</v>
      </c>
      <c r="J1054" s="50">
        <v>0</v>
      </c>
      <c r="K1054" s="50">
        <f t="shared" si="86"/>
        <v>0</v>
      </c>
      <c r="L1054" s="52">
        <f t="shared" si="87"/>
        <v>0</v>
      </c>
    </row>
    <row r="1055" spans="3:12" s="78" customFormat="1" ht="28.9" customHeight="1">
      <c r="C1055" s="60"/>
      <c r="D1055" s="111"/>
      <c r="E1055" s="91"/>
      <c r="F1055" s="76"/>
      <c r="G1055" s="77"/>
      <c r="H1055" s="50"/>
      <c r="I1055" s="56"/>
      <c r="J1055" s="50"/>
      <c r="K1055" s="50"/>
      <c r="L1055" s="52"/>
    </row>
    <row r="1056" spans="3:12" s="78" customFormat="1" ht="28.9" customHeight="1">
      <c r="C1056" s="60" t="s">
        <v>492</v>
      </c>
      <c r="D1056" s="111" t="s">
        <v>475</v>
      </c>
      <c r="E1056" s="91"/>
      <c r="F1056" s="48"/>
      <c r="G1056" s="77"/>
      <c r="H1056" s="50"/>
      <c r="I1056" s="54"/>
      <c r="J1056" s="50"/>
      <c r="K1056" s="50"/>
      <c r="L1056" s="52"/>
    </row>
    <row r="1057" spans="3:12" s="78" customFormat="1" ht="28.9" customHeight="1">
      <c r="C1057" s="60"/>
      <c r="D1057" s="111"/>
      <c r="E1057" s="91"/>
      <c r="F1057" s="48"/>
      <c r="G1057" s="77"/>
      <c r="H1057" s="50"/>
      <c r="I1057" s="56"/>
      <c r="J1057" s="50"/>
      <c r="K1057" s="50"/>
      <c r="L1057" s="52"/>
    </row>
    <row r="1058" spans="3:12" s="78" customFormat="1" ht="28.9" customHeight="1">
      <c r="C1058" s="60" t="s">
        <v>493</v>
      </c>
      <c r="D1058" s="111" t="s">
        <v>469</v>
      </c>
      <c r="E1058" s="91" t="s">
        <v>846</v>
      </c>
      <c r="F1058" s="48" t="s">
        <v>378</v>
      </c>
      <c r="G1058" s="77">
        <v>1</v>
      </c>
      <c r="H1058" s="50">
        <v>0</v>
      </c>
      <c r="I1058" s="56">
        <v>0</v>
      </c>
      <c r="J1058" s="50">
        <v>0</v>
      </c>
      <c r="K1058" s="50">
        <f t="shared" ref="K1058:K1063" si="88">+H1058+I1058+J1058</f>
        <v>0</v>
      </c>
      <c r="L1058" s="52">
        <f t="shared" ref="L1058:L1063" si="89">+K1058*G1058</f>
        <v>0</v>
      </c>
    </row>
    <row r="1059" spans="3:12" s="78" customFormat="1" ht="28.9" customHeight="1">
      <c r="C1059" s="60" t="s">
        <v>495</v>
      </c>
      <c r="D1059" s="111" t="s">
        <v>476</v>
      </c>
      <c r="E1059" s="91" t="s">
        <v>846</v>
      </c>
      <c r="F1059" s="48" t="s">
        <v>387</v>
      </c>
      <c r="G1059" s="77">
        <v>9</v>
      </c>
      <c r="H1059" s="50">
        <v>0</v>
      </c>
      <c r="I1059" s="56">
        <v>0</v>
      </c>
      <c r="J1059" s="50">
        <v>0</v>
      </c>
      <c r="K1059" s="50">
        <f t="shared" si="88"/>
        <v>0</v>
      </c>
      <c r="L1059" s="52">
        <f t="shared" si="89"/>
        <v>0</v>
      </c>
    </row>
    <row r="1060" spans="3:12" s="78" customFormat="1" ht="33" customHeight="1">
      <c r="C1060" s="60" t="s">
        <v>496</v>
      </c>
      <c r="D1060" s="160" t="s">
        <v>477</v>
      </c>
      <c r="E1060" s="91" t="s">
        <v>846</v>
      </c>
      <c r="F1060" s="48" t="s">
        <v>387</v>
      </c>
      <c r="G1060" s="77">
        <v>4</v>
      </c>
      <c r="H1060" s="50">
        <v>0</v>
      </c>
      <c r="I1060" s="56">
        <v>0</v>
      </c>
      <c r="J1060" s="50">
        <v>0</v>
      </c>
      <c r="K1060" s="50">
        <f t="shared" si="88"/>
        <v>0</v>
      </c>
      <c r="L1060" s="52">
        <f t="shared" si="89"/>
        <v>0</v>
      </c>
    </row>
    <row r="1061" spans="3:12" s="78" customFormat="1" ht="28.9" customHeight="1">
      <c r="C1061" s="60" t="s">
        <v>494</v>
      </c>
      <c r="D1061" s="111" t="s">
        <v>471</v>
      </c>
      <c r="E1061" s="91" t="s">
        <v>846</v>
      </c>
      <c r="F1061" s="48" t="s">
        <v>378</v>
      </c>
      <c r="G1061" s="77">
        <v>1</v>
      </c>
      <c r="H1061" s="50">
        <v>0</v>
      </c>
      <c r="I1061" s="56">
        <v>0</v>
      </c>
      <c r="J1061" s="50">
        <v>0</v>
      </c>
      <c r="K1061" s="50">
        <f t="shared" si="88"/>
        <v>0</v>
      </c>
      <c r="L1061" s="52">
        <f t="shared" si="89"/>
        <v>0</v>
      </c>
    </row>
    <row r="1062" spans="3:12" s="78" customFormat="1" ht="28.9" customHeight="1">
      <c r="C1062" s="60" t="s">
        <v>497</v>
      </c>
      <c r="D1062" s="111" t="s">
        <v>472</v>
      </c>
      <c r="E1062" s="91" t="s">
        <v>846</v>
      </c>
      <c r="F1062" s="48" t="s">
        <v>378</v>
      </c>
      <c r="G1062" s="77">
        <v>2</v>
      </c>
      <c r="H1062" s="50">
        <v>0</v>
      </c>
      <c r="I1062" s="56">
        <v>0</v>
      </c>
      <c r="J1062" s="50">
        <v>0</v>
      </c>
      <c r="K1062" s="50">
        <f t="shared" si="88"/>
        <v>0</v>
      </c>
      <c r="L1062" s="52">
        <f t="shared" si="89"/>
        <v>0</v>
      </c>
    </row>
    <row r="1063" spans="3:12" s="78" customFormat="1" ht="28.9" customHeight="1">
      <c r="C1063" s="60" t="s">
        <v>498</v>
      </c>
      <c r="D1063" s="111" t="s">
        <v>478</v>
      </c>
      <c r="E1063" s="91" t="s">
        <v>846</v>
      </c>
      <c r="F1063" s="48" t="s">
        <v>378</v>
      </c>
      <c r="G1063" s="77">
        <v>1</v>
      </c>
      <c r="H1063" s="50">
        <v>0</v>
      </c>
      <c r="I1063" s="56">
        <v>0</v>
      </c>
      <c r="J1063" s="50">
        <v>0</v>
      </c>
      <c r="K1063" s="50">
        <f t="shared" si="88"/>
        <v>0</v>
      </c>
      <c r="L1063" s="52">
        <f t="shared" si="89"/>
        <v>0</v>
      </c>
    </row>
    <row r="1064" spans="3:12" s="78" customFormat="1" ht="28.9" customHeight="1">
      <c r="C1064" s="60" t="s">
        <v>499</v>
      </c>
      <c r="D1064" s="111" t="s">
        <v>473</v>
      </c>
      <c r="E1064" s="91" t="s">
        <v>846</v>
      </c>
      <c r="F1064" s="48" t="s">
        <v>378</v>
      </c>
      <c r="G1064" s="77">
        <v>1</v>
      </c>
      <c r="H1064" s="50">
        <v>0</v>
      </c>
      <c r="I1064" s="56">
        <v>0</v>
      </c>
      <c r="J1064" s="50">
        <v>0</v>
      </c>
      <c r="K1064" s="50">
        <f>+H1064+I1064+J1064</f>
        <v>0</v>
      </c>
      <c r="L1064" s="52">
        <f>+K1064*G1064</f>
        <v>0</v>
      </c>
    </row>
    <row r="1065" spans="3:12" s="78" customFormat="1" ht="28.9" customHeight="1">
      <c r="C1065" s="60" t="s">
        <v>500</v>
      </c>
      <c r="D1065" s="111" t="s">
        <v>474</v>
      </c>
      <c r="E1065" s="91" t="s">
        <v>846</v>
      </c>
      <c r="F1065" s="48" t="s">
        <v>307</v>
      </c>
      <c r="G1065" s="77">
        <v>1</v>
      </c>
      <c r="H1065" s="50">
        <v>0</v>
      </c>
      <c r="I1065" s="56">
        <v>0</v>
      </c>
      <c r="J1065" s="50">
        <v>0</v>
      </c>
      <c r="K1065" s="50">
        <f>+H1065+I1065+J1065</f>
        <v>0</v>
      </c>
      <c r="L1065" s="52">
        <f>+K1065*G1065</f>
        <v>0</v>
      </c>
    </row>
    <row r="1066" spans="3:12" s="78" customFormat="1" ht="28.9" customHeight="1">
      <c r="C1066" s="60"/>
      <c r="D1066" s="111"/>
      <c r="E1066" s="91"/>
      <c r="F1066" s="48"/>
      <c r="G1066" s="77"/>
      <c r="H1066" s="50"/>
      <c r="I1066" s="56"/>
      <c r="J1066" s="50"/>
      <c r="K1066" s="50"/>
      <c r="L1066" s="52"/>
    </row>
    <row r="1067" spans="3:12" s="78" customFormat="1" ht="28.9" customHeight="1">
      <c r="C1067" s="60" t="s">
        <v>501</v>
      </c>
      <c r="D1067" s="111" t="s">
        <v>479</v>
      </c>
      <c r="E1067" s="91"/>
      <c r="F1067" s="48"/>
      <c r="G1067" s="77"/>
      <c r="H1067" s="50"/>
      <c r="I1067" s="56"/>
      <c r="J1067" s="50"/>
      <c r="K1067" s="50"/>
      <c r="L1067" s="52"/>
    </row>
    <row r="1068" spans="3:12" s="78" customFormat="1" ht="28.9" customHeight="1">
      <c r="C1068" s="60"/>
      <c r="D1068" s="111"/>
      <c r="E1068" s="91"/>
      <c r="F1068" s="48"/>
      <c r="G1068" s="77"/>
      <c r="H1068" s="50"/>
      <c r="I1068" s="56"/>
      <c r="J1068" s="50"/>
      <c r="K1068" s="50"/>
      <c r="L1068" s="52"/>
    </row>
    <row r="1069" spans="3:12" s="78" customFormat="1" ht="28.9" customHeight="1">
      <c r="C1069" s="60" t="s">
        <v>502</v>
      </c>
      <c r="D1069" s="111" t="s">
        <v>469</v>
      </c>
      <c r="E1069" s="91" t="s">
        <v>846</v>
      </c>
      <c r="F1069" s="48" t="s">
        <v>378</v>
      </c>
      <c r="G1069" s="77">
        <v>1</v>
      </c>
      <c r="H1069" s="50">
        <v>0</v>
      </c>
      <c r="I1069" s="56">
        <v>0</v>
      </c>
      <c r="J1069" s="50">
        <v>0</v>
      </c>
      <c r="K1069" s="50">
        <f>+H1069+I1069+J1069</f>
        <v>0</v>
      </c>
      <c r="L1069" s="52">
        <f>+K1069*G1069</f>
        <v>0</v>
      </c>
    </row>
    <row r="1070" spans="3:12" s="78" customFormat="1" ht="28.9" customHeight="1">
      <c r="C1070" s="60" t="s">
        <v>504</v>
      </c>
      <c r="D1070" s="111" t="s">
        <v>470</v>
      </c>
      <c r="E1070" s="91" t="s">
        <v>846</v>
      </c>
      <c r="F1070" s="48" t="s">
        <v>387</v>
      </c>
      <c r="G1070" s="77">
        <v>3</v>
      </c>
      <c r="H1070" s="50">
        <v>0</v>
      </c>
      <c r="I1070" s="56">
        <v>0</v>
      </c>
      <c r="J1070" s="50">
        <v>0</v>
      </c>
      <c r="K1070" s="50">
        <f>+H1070+I1070+J1070</f>
        <v>0</v>
      </c>
      <c r="L1070" s="52">
        <f>+K1070*G1070</f>
        <v>0</v>
      </c>
    </row>
    <row r="1071" spans="3:12" s="78" customFormat="1" ht="28.9" customHeight="1">
      <c r="C1071" s="60" t="s">
        <v>505</v>
      </c>
      <c r="D1071" s="111" t="s">
        <v>471</v>
      </c>
      <c r="E1071" s="91" t="s">
        <v>846</v>
      </c>
      <c r="F1071" s="48" t="s">
        <v>378</v>
      </c>
      <c r="G1071" s="77">
        <v>1</v>
      </c>
      <c r="H1071" s="50">
        <v>0</v>
      </c>
      <c r="I1071" s="56">
        <v>0</v>
      </c>
      <c r="J1071" s="50">
        <v>0</v>
      </c>
      <c r="K1071" s="50">
        <f>+H1071+I1071+J1071</f>
        <v>0</v>
      </c>
      <c r="L1071" s="52">
        <f>+K1071*G1071</f>
        <v>0</v>
      </c>
    </row>
    <row r="1072" spans="3:12" s="78" customFormat="1" ht="28.9" customHeight="1">
      <c r="C1072" s="60" t="s">
        <v>503</v>
      </c>
      <c r="D1072" s="111" t="s">
        <v>478</v>
      </c>
      <c r="E1072" s="91" t="s">
        <v>846</v>
      </c>
      <c r="F1072" s="48" t="s">
        <v>378</v>
      </c>
      <c r="G1072" s="77">
        <v>1</v>
      </c>
      <c r="H1072" s="50">
        <v>0</v>
      </c>
      <c r="I1072" s="56">
        <v>0</v>
      </c>
      <c r="J1072" s="50">
        <v>0</v>
      </c>
      <c r="K1072" s="50">
        <f t="shared" ref="K1072:K1079" si="90">+H1072+I1072+J1072</f>
        <v>0</v>
      </c>
      <c r="L1072" s="52">
        <f t="shared" ref="L1072:L1079" si="91">+K1072*G1072</f>
        <v>0</v>
      </c>
    </row>
    <row r="1073" spans="3:12" s="78" customFormat="1" ht="28.9" customHeight="1">
      <c r="C1073" s="60" t="s">
        <v>506</v>
      </c>
      <c r="D1073" s="111" t="s">
        <v>473</v>
      </c>
      <c r="E1073" s="91" t="s">
        <v>846</v>
      </c>
      <c r="F1073" s="48" t="s">
        <v>378</v>
      </c>
      <c r="G1073" s="77">
        <v>1</v>
      </c>
      <c r="H1073" s="50">
        <v>0</v>
      </c>
      <c r="I1073" s="56">
        <v>0</v>
      </c>
      <c r="J1073" s="50">
        <v>0</v>
      </c>
      <c r="K1073" s="50">
        <f t="shared" si="90"/>
        <v>0</v>
      </c>
      <c r="L1073" s="52">
        <f t="shared" si="91"/>
        <v>0</v>
      </c>
    </row>
    <row r="1074" spans="3:12" s="78" customFormat="1" ht="28.9" customHeight="1">
      <c r="C1074" s="60" t="s">
        <v>507</v>
      </c>
      <c r="D1074" s="111" t="s">
        <v>474</v>
      </c>
      <c r="E1074" s="91" t="s">
        <v>846</v>
      </c>
      <c r="F1074" s="48" t="s">
        <v>307</v>
      </c>
      <c r="G1074" s="77">
        <v>1</v>
      </c>
      <c r="H1074" s="50">
        <v>0</v>
      </c>
      <c r="I1074" s="56">
        <v>0</v>
      </c>
      <c r="J1074" s="50">
        <v>0</v>
      </c>
      <c r="K1074" s="50">
        <f t="shared" si="90"/>
        <v>0</v>
      </c>
      <c r="L1074" s="52">
        <f t="shared" si="91"/>
        <v>0</v>
      </c>
    </row>
    <row r="1075" spans="3:12" s="78" customFormat="1" ht="28.9" customHeight="1">
      <c r="C1075" s="60"/>
      <c r="D1075" s="111"/>
      <c r="E1075" s="91"/>
      <c r="F1075" s="48"/>
      <c r="G1075" s="77"/>
      <c r="H1075" s="50"/>
      <c r="I1075" s="56"/>
      <c r="J1075" s="50"/>
      <c r="K1075" s="50"/>
      <c r="L1075" s="52"/>
    </row>
    <row r="1076" spans="3:12" s="78" customFormat="1" ht="28.9" customHeight="1">
      <c r="C1076" s="60" t="s">
        <v>508</v>
      </c>
      <c r="D1076" s="111" t="s">
        <v>480</v>
      </c>
      <c r="E1076" s="91"/>
      <c r="F1076" s="48"/>
      <c r="G1076" s="77"/>
      <c r="H1076" s="50"/>
      <c r="I1076" s="56"/>
      <c r="J1076" s="50"/>
      <c r="K1076" s="50"/>
      <c r="L1076" s="52"/>
    </row>
    <row r="1077" spans="3:12" s="78" customFormat="1" ht="28.9" customHeight="1">
      <c r="C1077" s="60"/>
      <c r="D1077" s="111"/>
      <c r="E1077" s="91"/>
      <c r="F1077" s="48"/>
      <c r="G1077" s="77"/>
      <c r="H1077" s="50"/>
      <c r="I1077" s="56"/>
      <c r="J1077" s="50"/>
      <c r="K1077" s="50"/>
      <c r="L1077" s="52"/>
    </row>
    <row r="1078" spans="3:12" s="78" customFormat="1" ht="28.9" customHeight="1">
      <c r="C1078" s="60" t="s">
        <v>509</v>
      </c>
      <c r="D1078" s="111" t="s">
        <v>469</v>
      </c>
      <c r="E1078" s="91" t="s">
        <v>846</v>
      </c>
      <c r="F1078" s="48" t="s">
        <v>378</v>
      </c>
      <c r="G1078" s="77">
        <v>1</v>
      </c>
      <c r="H1078" s="50">
        <v>0</v>
      </c>
      <c r="I1078" s="56">
        <v>0</v>
      </c>
      <c r="J1078" s="50">
        <v>0</v>
      </c>
      <c r="K1078" s="50">
        <f t="shared" si="90"/>
        <v>0</v>
      </c>
      <c r="L1078" s="52">
        <f t="shared" si="91"/>
        <v>0</v>
      </c>
    </row>
    <row r="1079" spans="3:12" s="78" customFormat="1" ht="28.9" customHeight="1">
      <c r="C1079" s="60" t="s">
        <v>510</v>
      </c>
      <c r="D1079" s="111" t="s">
        <v>476</v>
      </c>
      <c r="E1079" s="91" t="s">
        <v>846</v>
      </c>
      <c r="F1079" s="48" t="s">
        <v>387</v>
      </c>
      <c r="G1079" s="77">
        <v>9</v>
      </c>
      <c r="H1079" s="50">
        <v>0</v>
      </c>
      <c r="I1079" s="56">
        <v>0</v>
      </c>
      <c r="J1079" s="50">
        <v>0</v>
      </c>
      <c r="K1079" s="50">
        <f t="shared" si="90"/>
        <v>0</v>
      </c>
      <c r="L1079" s="52">
        <f t="shared" si="91"/>
        <v>0</v>
      </c>
    </row>
    <row r="1080" spans="3:12" s="78" customFormat="1" ht="28.9" customHeight="1">
      <c r="C1080" s="60" t="s">
        <v>511</v>
      </c>
      <c r="D1080" s="111" t="s">
        <v>477</v>
      </c>
      <c r="E1080" s="91" t="s">
        <v>846</v>
      </c>
      <c r="F1080" s="48" t="s">
        <v>387</v>
      </c>
      <c r="G1080" s="77">
        <v>4</v>
      </c>
      <c r="H1080" s="50">
        <v>0</v>
      </c>
      <c r="I1080" s="56">
        <v>0</v>
      </c>
      <c r="J1080" s="50">
        <v>0</v>
      </c>
      <c r="K1080" s="50">
        <f>+H1080+I1080+J1080</f>
        <v>0</v>
      </c>
      <c r="L1080" s="52">
        <f>+K1080*G1080</f>
        <v>0</v>
      </c>
    </row>
    <row r="1081" spans="3:12" s="78" customFormat="1" ht="28.9" customHeight="1">
      <c r="C1081" s="60" t="s">
        <v>491</v>
      </c>
      <c r="D1081" s="111" t="s">
        <v>471</v>
      </c>
      <c r="E1081" s="91" t="s">
        <v>846</v>
      </c>
      <c r="F1081" s="48" t="s">
        <v>378</v>
      </c>
      <c r="G1081" s="77">
        <v>1</v>
      </c>
      <c r="H1081" s="50">
        <v>0</v>
      </c>
      <c r="I1081" s="56">
        <v>0</v>
      </c>
      <c r="J1081" s="50">
        <v>0</v>
      </c>
      <c r="K1081" s="50">
        <f>+H1081+I1081+J1081</f>
        <v>0</v>
      </c>
      <c r="L1081" s="52">
        <f>+K1081*G1081</f>
        <v>0</v>
      </c>
    </row>
    <row r="1082" spans="3:12" s="78" customFormat="1" ht="28.9" customHeight="1">
      <c r="C1082" s="60" t="s">
        <v>512</v>
      </c>
      <c r="D1082" s="111" t="s">
        <v>478</v>
      </c>
      <c r="E1082" s="91" t="s">
        <v>846</v>
      </c>
      <c r="F1082" s="48" t="s">
        <v>378</v>
      </c>
      <c r="G1082" s="77">
        <v>1</v>
      </c>
      <c r="H1082" s="50">
        <v>0</v>
      </c>
      <c r="I1082" s="56">
        <v>0</v>
      </c>
      <c r="J1082" s="50">
        <v>0</v>
      </c>
      <c r="K1082" s="50">
        <f>+H1082+I1082+J1082</f>
        <v>0</v>
      </c>
      <c r="L1082" s="52">
        <f>+K1082*G1082</f>
        <v>0</v>
      </c>
    </row>
    <row r="1083" spans="3:12" s="78" customFormat="1" ht="28.9" customHeight="1">
      <c r="C1083" s="60" t="s">
        <v>513</v>
      </c>
      <c r="D1083" s="111" t="s">
        <v>473</v>
      </c>
      <c r="E1083" s="91" t="s">
        <v>846</v>
      </c>
      <c r="F1083" s="48" t="s">
        <v>378</v>
      </c>
      <c r="G1083" s="77">
        <v>1</v>
      </c>
      <c r="H1083" s="50">
        <v>0</v>
      </c>
      <c r="I1083" s="56">
        <v>0</v>
      </c>
      <c r="J1083" s="50">
        <v>0</v>
      </c>
      <c r="K1083" s="50">
        <f>+H1083+I1083+J1083</f>
        <v>0</v>
      </c>
      <c r="L1083" s="52">
        <f>+K1083*G1083</f>
        <v>0</v>
      </c>
    </row>
    <row r="1084" spans="3:12" s="78" customFormat="1" ht="28.9" customHeight="1">
      <c r="C1084" s="60" t="s">
        <v>514</v>
      </c>
      <c r="D1084" s="111" t="s">
        <v>474</v>
      </c>
      <c r="E1084" s="91" t="s">
        <v>846</v>
      </c>
      <c r="F1084" s="48" t="s">
        <v>307</v>
      </c>
      <c r="G1084" s="77">
        <v>1</v>
      </c>
      <c r="H1084" s="50">
        <v>0</v>
      </c>
      <c r="I1084" s="56">
        <v>0</v>
      </c>
      <c r="J1084" s="50">
        <v>0</v>
      </c>
      <c r="K1084" s="50">
        <f>+H1084+I1084+J1084</f>
        <v>0</v>
      </c>
      <c r="L1084" s="52">
        <f>+K1084*G1084</f>
        <v>0</v>
      </c>
    </row>
    <row r="1085" spans="3:12" s="78" customFormat="1" ht="28.9" customHeight="1">
      <c r="C1085" s="60"/>
      <c r="D1085" s="111"/>
      <c r="E1085" s="91"/>
      <c r="F1085" s="48"/>
      <c r="G1085" s="77"/>
      <c r="H1085" s="50"/>
      <c r="I1085" s="56"/>
      <c r="J1085" s="50"/>
      <c r="K1085" s="50"/>
      <c r="L1085" s="52"/>
    </row>
    <row r="1086" spans="3:12" s="78" customFormat="1" ht="28.9" customHeight="1">
      <c r="C1086" s="60" t="s">
        <v>515</v>
      </c>
      <c r="D1086" s="111" t="s">
        <v>2216</v>
      </c>
      <c r="E1086" s="91"/>
      <c r="F1086" s="48"/>
      <c r="G1086" s="77"/>
      <c r="H1086" s="50"/>
      <c r="I1086" s="56"/>
      <c r="J1086" s="50"/>
      <c r="K1086" s="50"/>
      <c r="L1086" s="52"/>
    </row>
    <row r="1087" spans="3:12" s="78" customFormat="1" ht="28.9" customHeight="1">
      <c r="C1087" s="60"/>
      <c r="D1087" s="111"/>
      <c r="E1087" s="91"/>
      <c r="F1087" s="76"/>
      <c r="G1087" s="77"/>
      <c r="H1087" s="50"/>
      <c r="I1087" s="56"/>
      <c r="J1087" s="50"/>
      <c r="K1087" s="50"/>
      <c r="L1087" s="52"/>
    </row>
    <row r="1088" spans="3:12" s="78" customFormat="1" ht="28.9" customHeight="1">
      <c r="C1088" s="60" t="s">
        <v>516</v>
      </c>
      <c r="D1088" s="111" t="s">
        <v>2205</v>
      </c>
      <c r="E1088" s="91" t="s">
        <v>846</v>
      </c>
      <c r="F1088" s="48" t="s">
        <v>378</v>
      </c>
      <c r="G1088" s="77">
        <v>1</v>
      </c>
      <c r="H1088" s="50">
        <v>0</v>
      </c>
      <c r="I1088" s="56">
        <v>0</v>
      </c>
      <c r="J1088" s="50">
        <v>0</v>
      </c>
      <c r="K1088" s="50">
        <f t="shared" ref="K1088:K1095" si="92">+H1088+I1088+J1088</f>
        <v>0</v>
      </c>
      <c r="L1088" s="52">
        <f t="shared" ref="L1088:L1095" si="93">+K1088*G1088</f>
        <v>0</v>
      </c>
    </row>
    <row r="1089" spans="3:12" s="78" customFormat="1" ht="28.9" customHeight="1">
      <c r="C1089" s="60" t="s">
        <v>517</v>
      </c>
      <c r="D1089" s="111" t="s">
        <v>2206</v>
      </c>
      <c r="E1089" s="91" t="s">
        <v>846</v>
      </c>
      <c r="F1089" s="48" t="s">
        <v>378</v>
      </c>
      <c r="G1089" s="77">
        <v>3</v>
      </c>
      <c r="H1089" s="50">
        <v>0</v>
      </c>
      <c r="I1089" s="56">
        <v>0</v>
      </c>
      <c r="J1089" s="50">
        <v>0</v>
      </c>
      <c r="K1089" s="50">
        <f t="shared" si="92"/>
        <v>0</v>
      </c>
      <c r="L1089" s="52">
        <f t="shared" si="93"/>
        <v>0</v>
      </c>
    </row>
    <row r="1090" spans="3:12" s="78" customFormat="1" ht="28.9" customHeight="1">
      <c r="C1090" s="60" t="s">
        <v>518</v>
      </c>
      <c r="D1090" s="111" t="s">
        <v>2207</v>
      </c>
      <c r="E1090" s="91" t="s">
        <v>846</v>
      </c>
      <c r="F1090" s="48" t="s">
        <v>378</v>
      </c>
      <c r="G1090" s="77">
        <v>2</v>
      </c>
      <c r="H1090" s="50">
        <v>0</v>
      </c>
      <c r="I1090" s="56">
        <v>0</v>
      </c>
      <c r="J1090" s="50">
        <v>0</v>
      </c>
      <c r="K1090" s="50">
        <f t="shared" si="92"/>
        <v>0</v>
      </c>
      <c r="L1090" s="52">
        <f t="shared" si="93"/>
        <v>0</v>
      </c>
    </row>
    <row r="1091" spans="3:12" s="78" customFormat="1" ht="28.9" customHeight="1">
      <c r="C1091" s="60" t="s">
        <v>519</v>
      </c>
      <c r="D1091" s="111" t="s">
        <v>2208</v>
      </c>
      <c r="E1091" s="91" t="s">
        <v>846</v>
      </c>
      <c r="F1091" s="48" t="s">
        <v>378</v>
      </c>
      <c r="G1091" s="77">
        <v>4</v>
      </c>
      <c r="H1091" s="50">
        <v>0</v>
      </c>
      <c r="I1091" s="56">
        <v>0</v>
      </c>
      <c r="J1091" s="50">
        <v>0</v>
      </c>
      <c r="K1091" s="50">
        <f t="shared" si="92"/>
        <v>0</v>
      </c>
      <c r="L1091" s="52">
        <f t="shared" si="93"/>
        <v>0</v>
      </c>
    </row>
    <row r="1092" spans="3:12" s="78" customFormat="1" ht="28.9" customHeight="1">
      <c r="C1092" s="60" t="s">
        <v>520</v>
      </c>
      <c r="D1092" s="111" t="s">
        <v>2209</v>
      </c>
      <c r="E1092" s="91" t="s">
        <v>846</v>
      </c>
      <c r="F1092" s="48" t="s">
        <v>378</v>
      </c>
      <c r="G1092" s="77">
        <v>5</v>
      </c>
      <c r="H1092" s="50">
        <v>0</v>
      </c>
      <c r="I1092" s="56">
        <v>0</v>
      </c>
      <c r="J1092" s="50">
        <v>0</v>
      </c>
      <c r="K1092" s="50">
        <f t="shared" si="92"/>
        <v>0</v>
      </c>
      <c r="L1092" s="52">
        <f t="shared" si="93"/>
        <v>0</v>
      </c>
    </row>
    <row r="1093" spans="3:12" s="78" customFormat="1" ht="39.6" customHeight="1">
      <c r="C1093" s="60" t="s">
        <v>521</v>
      </c>
      <c r="D1093" s="160" t="s">
        <v>2210</v>
      </c>
      <c r="E1093" s="91" t="s">
        <v>846</v>
      </c>
      <c r="F1093" s="48" t="s">
        <v>378</v>
      </c>
      <c r="G1093" s="77">
        <v>3</v>
      </c>
      <c r="H1093" s="50">
        <v>0</v>
      </c>
      <c r="I1093" s="56">
        <v>0</v>
      </c>
      <c r="J1093" s="50">
        <v>0</v>
      </c>
      <c r="K1093" s="50">
        <f t="shared" si="92"/>
        <v>0</v>
      </c>
      <c r="L1093" s="52">
        <f t="shared" si="93"/>
        <v>0</v>
      </c>
    </row>
    <row r="1094" spans="3:12" s="78" customFormat="1" ht="28.9" customHeight="1">
      <c r="C1094" s="60" t="s">
        <v>522</v>
      </c>
      <c r="D1094" s="111" t="s">
        <v>2211</v>
      </c>
      <c r="E1094" s="91" t="s">
        <v>846</v>
      </c>
      <c r="F1094" s="48" t="s">
        <v>378</v>
      </c>
      <c r="G1094" s="77">
        <v>1</v>
      </c>
      <c r="H1094" s="50">
        <v>0</v>
      </c>
      <c r="I1094" s="56">
        <v>0</v>
      </c>
      <c r="J1094" s="50">
        <v>0</v>
      </c>
      <c r="K1094" s="50">
        <f t="shared" si="92"/>
        <v>0</v>
      </c>
      <c r="L1094" s="52">
        <f t="shared" si="93"/>
        <v>0</v>
      </c>
    </row>
    <row r="1095" spans="3:12" s="78" customFormat="1" ht="28.9" customHeight="1">
      <c r="C1095" s="60" t="s">
        <v>523</v>
      </c>
      <c r="D1095" s="111" t="s">
        <v>2212</v>
      </c>
      <c r="E1095" s="91" t="s">
        <v>846</v>
      </c>
      <c r="F1095" s="48" t="s">
        <v>378</v>
      </c>
      <c r="G1095" s="77">
        <v>1</v>
      </c>
      <c r="H1095" s="50">
        <v>0</v>
      </c>
      <c r="I1095" s="56">
        <v>0</v>
      </c>
      <c r="J1095" s="50">
        <v>0</v>
      </c>
      <c r="K1095" s="50">
        <f t="shared" si="92"/>
        <v>0</v>
      </c>
      <c r="L1095" s="52">
        <f t="shared" si="93"/>
        <v>0</v>
      </c>
    </row>
    <row r="1096" spans="3:12" s="78" customFormat="1" ht="28.9" customHeight="1">
      <c r="C1096" s="60" t="s">
        <v>524</v>
      </c>
      <c r="D1096" s="111" t="s">
        <v>2213</v>
      </c>
      <c r="E1096" s="91" t="s">
        <v>846</v>
      </c>
      <c r="F1096" s="48" t="s">
        <v>387</v>
      </c>
      <c r="G1096" s="77">
        <v>90</v>
      </c>
      <c r="H1096" s="50">
        <v>0</v>
      </c>
      <c r="I1096" s="56">
        <v>0</v>
      </c>
      <c r="J1096" s="50">
        <v>0</v>
      </c>
      <c r="K1096" s="50">
        <f t="shared" ref="K1096:K1103" si="94">+H1096+I1096+J1096</f>
        <v>0</v>
      </c>
      <c r="L1096" s="52">
        <f t="shared" ref="L1096:L1103" si="95">+K1096*G1096</f>
        <v>0</v>
      </c>
    </row>
    <row r="1097" spans="3:12" s="78" customFormat="1" ht="35.450000000000003" customHeight="1">
      <c r="C1097" s="60" t="s">
        <v>525</v>
      </c>
      <c r="D1097" s="160" t="s">
        <v>2214</v>
      </c>
      <c r="E1097" s="91" t="s">
        <v>846</v>
      </c>
      <c r="F1097" s="48" t="s">
        <v>387</v>
      </c>
      <c r="G1097" s="77">
        <v>18</v>
      </c>
      <c r="H1097" s="50">
        <v>0</v>
      </c>
      <c r="I1097" s="56">
        <v>0</v>
      </c>
      <c r="J1097" s="50">
        <v>0</v>
      </c>
      <c r="K1097" s="50">
        <f t="shared" si="94"/>
        <v>0</v>
      </c>
      <c r="L1097" s="52">
        <f t="shared" si="95"/>
        <v>0</v>
      </c>
    </row>
    <row r="1098" spans="3:12" s="78" customFormat="1" ht="28.9" customHeight="1">
      <c r="C1098" s="60" t="s">
        <v>526</v>
      </c>
      <c r="D1098" s="111" t="s">
        <v>2215</v>
      </c>
      <c r="E1098" s="91" t="s">
        <v>846</v>
      </c>
      <c r="F1098" s="48" t="s">
        <v>378</v>
      </c>
      <c r="G1098" s="77">
        <v>1</v>
      </c>
      <c r="H1098" s="50">
        <v>0</v>
      </c>
      <c r="I1098" s="56">
        <v>0</v>
      </c>
      <c r="J1098" s="50">
        <v>0</v>
      </c>
      <c r="K1098" s="50">
        <f t="shared" si="94"/>
        <v>0</v>
      </c>
      <c r="L1098" s="52">
        <f t="shared" si="95"/>
        <v>0</v>
      </c>
    </row>
    <row r="1099" spans="3:12" s="78" customFormat="1" ht="28.9" customHeight="1">
      <c r="C1099" s="60"/>
      <c r="D1099" s="111"/>
      <c r="E1099" s="91"/>
      <c r="F1099" s="48"/>
      <c r="G1099" s="77"/>
      <c r="H1099" s="50"/>
      <c r="I1099" s="56"/>
      <c r="J1099" s="50"/>
      <c r="K1099" s="50">
        <f t="shared" si="94"/>
        <v>0</v>
      </c>
      <c r="L1099" s="52">
        <f t="shared" si="95"/>
        <v>0</v>
      </c>
    </row>
    <row r="1100" spans="3:12" s="78" customFormat="1" ht="28.9" customHeight="1">
      <c r="C1100" s="60" t="s">
        <v>527</v>
      </c>
      <c r="D1100" s="111" t="s">
        <v>2217</v>
      </c>
      <c r="E1100" s="91"/>
      <c r="F1100" s="48"/>
      <c r="G1100" s="77"/>
      <c r="H1100" s="50"/>
      <c r="I1100" s="56"/>
      <c r="J1100" s="50"/>
      <c r="K1100" s="50">
        <f t="shared" si="94"/>
        <v>0</v>
      </c>
      <c r="L1100" s="52">
        <f t="shared" si="95"/>
        <v>0</v>
      </c>
    </row>
    <row r="1101" spans="3:12" s="78" customFormat="1" ht="28.9" customHeight="1">
      <c r="C1101" s="60"/>
      <c r="D1101" s="111"/>
      <c r="E1101" s="91"/>
      <c r="F1101" s="48"/>
      <c r="G1101" s="77"/>
      <c r="H1101" s="50"/>
      <c r="I1101" s="56"/>
      <c r="J1101" s="50"/>
      <c r="K1101" s="50">
        <f t="shared" si="94"/>
        <v>0</v>
      </c>
      <c r="L1101" s="52">
        <f t="shared" si="95"/>
        <v>0</v>
      </c>
    </row>
    <row r="1102" spans="3:12" s="78" customFormat="1" ht="28.9" customHeight="1">
      <c r="C1102" s="60" t="s">
        <v>528</v>
      </c>
      <c r="D1102" s="111" t="s">
        <v>2205</v>
      </c>
      <c r="E1102" s="91" t="s">
        <v>846</v>
      </c>
      <c r="F1102" s="48" t="s">
        <v>378</v>
      </c>
      <c r="G1102" s="77">
        <v>1</v>
      </c>
      <c r="H1102" s="50">
        <v>0</v>
      </c>
      <c r="I1102" s="56">
        <v>0</v>
      </c>
      <c r="J1102" s="50">
        <v>0</v>
      </c>
      <c r="K1102" s="50">
        <f t="shared" si="94"/>
        <v>0</v>
      </c>
      <c r="L1102" s="52">
        <f t="shared" si="95"/>
        <v>0</v>
      </c>
    </row>
    <row r="1103" spans="3:12" s="78" customFormat="1" ht="28.9" customHeight="1">
      <c r="C1103" s="60" t="s">
        <v>529</v>
      </c>
      <c r="D1103" s="111" t="s">
        <v>2206</v>
      </c>
      <c r="E1103" s="91" t="s">
        <v>846</v>
      </c>
      <c r="F1103" s="48" t="s">
        <v>378</v>
      </c>
      <c r="G1103" s="77">
        <v>3</v>
      </c>
      <c r="H1103" s="50">
        <v>0</v>
      </c>
      <c r="I1103" s="56">
        <v>0</v>
      </c>
      <c r="J1103" s="50">
        <v>0</v>
      </c>
      <c r="K1103" s="50">
        <f t="shared" si="94"/>
        <v>0</v>
      </c>
      <c r="L1103" s="52">
        <f t="shared" si="95"/>
        <v>0</v>
      </c>
    </row>
    <row r="1104" spans="3:12" s="78" customFormat="1" ht="28.9" customHeight="1">
      <c r="C1104" s="60" t="s">
        <v>530</v>
      </c>
      <c r="D1104" s="111" t="s">
        <v>2207</v>
      </c>
      <c r="E1104" s="91" t="s">
        <v>846</v>
      </c>
      <c r="F1104" s="48" t="s">
        <v>378</v>
      </c>
      <c r="G1104" s="77">
        <v>2</v>
      </c>
      <c r="H1104" s="50">
        <v>0</v>
      </c>
      <c r="I1104" s="56">
        <v>0</v>
      </c>
      <c r="J1104" s="50">
        <v>0</v>
      </c>
      <c r="K1104" s="50">
        <f t="shared" ref="K1104:K1111" si="96">+H1104+I1104+J1104</f>
        <v>0</v>
      </c>
      <c r="L1104" s="52">
        <f t="shared" ref="L1104:L1111" si="97">+K1104*G1104</f>
        <v>0</v>
      </c>
    </row>
    <row r="1105" spans="3:12" s="78" customFormat="1" ht="28.9" customHeight="1">
      <c r="C1105" s="60" t="s">
        <v>531</v>
      </c>
      <c r="D1105" s="111" t="s">
        <v>2208</v>
      </c>
      <c r="E1105" s="91" t="s">
        <v>846</v>
      </c>
      <c r="F1105" s="48" t="s">
        <v>378</v>
      </c>
      <c r="G1105" s="77">
        <v>3</v>
      </c>
      <c r="H1105" s="50">
        <v>0</v>
      </c>
      <c r="I1105" s="56">
        <v>0</v>
      </c>
      <c r="J1105" s="50">
        <v>0</v>
      </c>
      <c r="K1105" s="50">
        <f t="shared" si="96"/>
        <v>0</v>
      </c>
      <c r="L1105" s="52">
        <f t="shared" si="97"/>
        <v>0</v>
      </c>
    </row>
    <row r="1106" spans="3:12" s="78" customFormat="1" ht="28.9" customHeight="1">
      <c r="C1106" s="60" t="s">
        <v>532</v>
      </c>
      <c r="D1106" s="111" t="s">
        <v>2209</v>
      </c>
      <c r="E1106" s="91" t="s">
        <v>846</v>
      </c>
      <c r="F1106" s="48" t="s">
        <v>378</v>
      </c>
      <c r="G1106" s="77">
        <v>6</v>
      </c>
      <c r="H1106" s="50">
        <v>0</v>
      </c>
      <c r="I1106" s="56">
        <v>0</v>
      </c>
      <c r="J1106" s="50">
        <v>0</v>
      </c>
      <c r="K1106" s="50">
        <f t="shared" si="96"/>
        <v>0</v>
      </c>
      <c r="L1106" s="52">
        <f t="shared" si="97"/>
        <v>0</v>
      </c>
    </row>
    <row r="1107" spans="3:12" s="78" customFormat="1" ht="28.9" customHeight="1">
      <c r="C1107" s="60" t="s">
        <v>533</v>
      </c>
      <c r="D1107" s="111" t="s">
        <v>2218</v>
      </c>
      <c r="E1107" s="91" t="s">
        <v>846</v>
      </c>
      <c r="F1107" s="48" t="s">
        <v>387</v>
      </c>
      <c r="G1107" s="77">
        <v>78</v>
      </c>
      <c r="H1107" s="50">
        <v>0</v>
      </c>
      <c r="I1107" s="56">
        <v>0</v>
      </c>
      <c r="J1107" s="50">
        <v>0</v>
      </c>
      <c r="K1107" s="50">
        <f t="shared" si="96"/>
        <v>0</v>
      </c>
      <c r="L1107" s="52">
        <f t="shared" si="97"/>
        <v>0</v>
      </c>
    </row>
    <row r="1108" spans="3:12" s="78" customFormat="1" ht="28.9" customHeight="1">
      <c r="C1108" s="60" t="s">
        <v>534</v>
      </c>
      <c r="D1108" s="160" t="s">
        <v>2219</v>
      </c>
      <c r="E1108" s="91" t="s">
        <v>846</v>
      </c>
      <c r="F1108" s="48" t="s">
        <v>387</v>
      </c>
      <c r="G1108" s="77">
        <v>12</v>
      </c>
      <c r="H1108" s="50">
        <v>0</v>
      </c>
      <c r="I1108" s="56">
        <v>0</v>
      </c>
      <c r="J1108" s="50">
        <v>0</v>
      </c>
      <c r="K1108" s="50">
        <f t="shared" si="96"/>
        <v>0</v>
      </c>
      <c r="L1108" s="52">
        <f t="shared" si="97"/>
        <v>0</v>
      </c>
    </row>
    <row r="1109" spans="3:12" s="78" customFormat="1" ht="28.9" customHeight="1">
      <c r="C1109" s="60" t="s">
        <v>535</v>
      </c>
      <c r="D1109" s="111" t="s">
        <v>2212</v>
      </c>
      <c r="E1109" s="91" t="s">
        <v>846</v>
      </c>
      <c r="F1109" s="48" t="s">
        <v>378</v>
      </c>
      <c r="G1109" s="77">
        <v>1</v>
      </c>
      <c r="H1109" s="50">
        <v>0</v>
      </c>
      <c r="I1109" s="56">
        <v>0</v>
      </c>
      <c r="J1109" s="50">
        <v>0</v>
      </c>
      <c r="K1109" s="50">
        <f t="shared" si="96"/>
        <v>0</v>
      </c>
      <c r="L1109" s="52">
        <f t="shared" si="97"/>
        <v>0</v>
      </c>
    </row>
    <row r="1110" spans="3:12" s="78" customFormat="1" ht="28.9" customHeight="1">
      <c r="C1110" s="60" t="s">
        <v>536</v>
      </c>
      <c r="D1110" s="111" t="s">
        <v>2211</v>
      </c>
      <c r="E1110" s="91" t="s">
        <v>846</v>
      </c>
      <c r="F1110" s="48" t="s">
        <v>378</v>
      </c>
      <c r="G1110" s="77">
        <v>1</v>
      </c>
      <c r="H1110" s="50">
        <v>0</v>
      </c>
      <c r="I1110" s="56">
        <v>0</v>
      </c>
      <c r="J1110" s="50">
        <v>0</v>
      </c>
      <c r="K1110" s="50">
        <f t="shared" si="96"/>
        <v>0</v>
      </c>
      <c r="L1110" s="52">
        <f t="shared" si="97"/>
        <v>0</v>
      </c>
    </row>
    <row r="1111" spans="3:12" s="78" customFormat="1" ht="36.6" customHeight="1">
      <c r="C1111" s="60" t="s">
        <v>537</v>
      </c>
      <c r="D1111" s="160" t="s">
        <v>2220</v>
      </c>
      <c r="E1111" s="91" t="s">
        <v>846</v>
      </c>
      <c r="F1111" s="48" t="s">
        <v>387</v>
      </c>
      <c r="G1111" s="77">
        <v>2</v>
      </c>
      <c r="H1111" s="50">
        <v>0</v>
      </c>
      <c r="I1111" s="56">
        <v>0</v>
      </c>
      <c r="J1111" s="50">
        <v>0</v>
      </c>
      <c r="K1111" s="50">
        <f t="shared" si="96"/>
        <v>0</v>
      </c>
      <c r="L1111" s="52">
        <f t="shared" si="97"/>
        <v>0</v>
      </c>
    </row>
    <row r="1112" spans="3:12" s="78" customFormat="1" ht="28.9" customHeight="1">
      <c r="C1112" s="60" t="s">
        <v>538</v>
      </c>
      <c r="D1112" s="111" t="s">
        <v>2215</v>
      </c>
      <c r="E1112" s="91" t="s">
        <v>846</v>
      </c>
      <c r="F1112" s="48" t="s">
        <v>378</v>
      </c>
      <c r="G1112" s="77">
        <v>1</v>
      </c>
      <c r="H1112" s="50">
        <v>0</v>
      </c>
      <c r="I1112" s="56">
        <v>0</v>
      </c>
      <c r="J1112" s="50">
        <v>0</v>
      </c>
      <c r="K1112" s="50">
        <f>+H1112+I1112+J1112</f>
        <v>0</v>
      </c>
      <c r="L1112" s="52">
        <f>+K1112*G1112</f>
        <v>0</v>
      </c>
    </row>
    <row r="1113" spans="3:12" s="78" customFormat="1" ht="28.9" customHeight="1">
      <c r="C1113" s="60"/>
      <c r="D1113" s="111"/>
      <c r="E1113" s="91"/>
      <c r="F1113" s="48"/>
      <c r="G1113" s="77"/>
      <c r="H1113" s="50"/>
      <c r="I1113" s="56"/>
      <c r="J1113" s="50"/>
      <c r="K1113" s="50"/>
      <c r="L1113" s="52"/>
    </row>
    <row r="1114" spans="3:12" s="78" customFormat="1" ht="28.9" customHeight="1">
      <c r="C1114" s="60" t="s">
        <v>539</v>
      </c>
      <c r="D1114" s="111" t="s">
        <v>2278</v>
      </c>
      <c r="E1114" s="91"/>
      <c r="F1114" s="48"/>
      <c r="G1114" s="77"/>
      <c r="H1114" s="50"/>
      <c r="I1114" s="56"/>
      <c r="J1114" s="50"/>
      <c r="K1114" s="50"/>
      <c r="L1114" s="52"/>
    </row>
    <row r="1115" spans="3:12" s="78" customFormat="1" ht="28.9" customHeight="1">
      <c r="C1115" s="60"/>
      <c r="D1115" s="111"/>
      <c r="E1115" s="91"/>
      <c r="F1115" s="48"/>
      <c r="G1115" s="77"/>
      <c r="H1115" s="50"/>
      <c r="I1115" s="56"/>
      <c r="J1115" s="50"/>
      <c r="K1115" s="50"/>
      <c r="L1115" s="52"/>
    </row>
    <row r="1116" spans="3:12" s="78" customFormat="1" ht="28.9" customHeight="1">
      <c r="C1116" s="60" t="s">
        <v>540</v>
      </c>
      <c r="D1116" s="111" t="s">
        <v>2205</v>
      </c>
      <c r="E1116" s="91" t="s">
        <v>846</v>
      </c>
      <c r="F1116" s="48" t="s">
        <v>378</v>
      </c>
      <c r="G1116" s="77">
        <v>1</v>
      </c>
      <c r="H1116" s="50">
        <v>0</v>
      </c>
      <c r="I1116" s="56">
        <v>0</v>
      </c>
      <c r="J1116" s="50">
        <v>0</v>
      </c>
      <c r="K1116" s="50">
        <f>+H1116+I1116+J1116</f>
        <v>0</v>
      </c>
      <c r="L1116" s="52">
        <f>+K1116*G1116</f>
        <v>0</v>
      </c>
    </row>
    <row r="1117" spans="3:12" s="78" customFormat="1" ht="28.9" customHeight="1">
      <c r="C1117" s="60" t="s">
        <v>541</v>
      </c>
      <c r="D1117" s="111" t="s">
        <v>2206</v>
      </c>
      <c r="E1117" s="91" t="s">
        <v>846</v>
      </c>
      <c r="F1117" s="48" t="s">
        <v>378</v>
      </c>
      <c r="G1117" s="77">
        <v>2</v>
      </c>
      <c r="H1117" s="50">
        <v>0</v>
      </c>
      <c r="I1117" s="56">
        <v>0</v>
      </c>
      <c r="J1117" s="50">
        <v>0</v>
      </c>
      <c r="K1117" s="50">
        <f t="shared" ref="K1117:K1133" si="98">+H1117+I1117+J1117</f>
        <v>0</v>
      </c>
      <c r="L1117" s="52">
        <f t="shared" ref="L1117:L1133" si="99">+K1117*G1117</f>
        <v>0</v>
      </c>
    </row>
    <row r="1118" spans="3:12" s="78" customFormat="1" ht="28.9" customHeight="1">
      <c r="C1118" s="60" t="s">
        <v>542</v>
      </c>
      <c r="D1118" s="111" t="s">
        <v>2207</v>
      </c>
      <c r="E1118" s="91" t="s">
        <v>846</v>
      </c>
      <c r="F1118" s="48" t="s">
        <v>378</v>
      </c>
      <c r="G1118" s="77">
        <v>2</v>
      </c>
      <c r="H1118" s="50">
        <v>0</v>
      </c>
      <c r="I1118" s="56">
        <v>0</v>
      </c>
      <c r="J1118" s="50">
        <v>0</v>
      </c>
      <c r="K1118" s="50">
        <f t="shared" si="98"/>
        <v>0</v>
      </c>
      <c r="L1118" s="52">
        <f t="shared" si="99"/>
        <v>0</v>
      </c>
    </row>
    <row r="1119" spans="3:12" s="78" customFormat="1" ht="28.9" customHeight="1">
      <c r="C1119" s="60" t="s">
        <v>543</v>
      </c>
      <c r="D1119" s="111" t="s">
        <v>2208</v>
      </c>
      <c r="E1119" s="91" t="s">
        <v>846</v>
      </c>
      <c r="F1119" s="48" t="s">
        <v>378</v>
      </c>
      <c r="G1119" s="77">
        <v>3</v>
      </c>
      <c r="H1119" s="50">
        <v>0</v>
      </c>
      <c r="I1119" s="56">
        <v>0</v>
      </c>
      <c r="J1119" s="50">
        <v>0</v>
      </c>
      <c r="K1119" s="50">
        <f t="shared" si="98"/>
        <v>0</v>
      </c>
      <c r="L1119" s="52">
        <f t="shared" si="99"/>
        <v>0</v>
      </c>
    </row>
    <row r="1120" spans="3:12" s="78" customFormat="1" ht="28.9" customHeight="1">
      <c r="C1120" s="60" t="s">
        <v>544</v>
      </c>
      <c r="D1120" s="111" t="s">
        <v>2209</v>
      </c>
      <c r="E1120" s="91" t="s">
        <v>846</v>
      </c>
      <c r="F1120" s="48" t="s">
        <v>378</v>
      </c>
      <c r="G1120" s="77">
        <v>6</v>
      </c>
      <c r="H1120" s="50">
        <v>0</v>
      </c>
      <c r="I1120" s="56">
        <v>0</v>
      </c>
      <c r="J1120" s="50">
        <v>0</v>
      </c>
      <c r="K1120" s="50">
        <f t="shared" si="98"/>
        <v>0</v>
      </c>
      <c r="L1120" s="52">
        <f t="shared" si="99"/>
        <v>0</v>
      </c>
    </row>
    <row r="1121" spans="3:12" s="78" customFormat="1" ht="28.9" customHeight="1">
      <c r="C1121" s="60" t="s">
        <v>545</v>
      </c>
      <c r="D1121" s="111" t="s">
        <v>2218</v>
      </c>
      <c r="E1121" s="91" t="s">
        <v>846</v>
      </c>
      <c r="F1121" s="212" t="s">
        <v>387</v>
      </c>
      <c r="G1121" s="213">
        <v>84</v>
      </c>
      <c r="H1121" s="50">
        <v>0</v>
      </c>
      <c r="I1121" s="56">
        <v>0</v>
      </c>
      <c r="J1121" s="50">
        <v>0</v>
      </c>
      <c r="K1121" s="50">
        <f t="shared" si="98"/>
        <v>0</v>
      </c>
      <c r="L1121" s="52">
        <f t="shared" si="99"/>
        <v>0</v>
      </c>
    </row>
    <row r="1122" spans="3:12" s="78" customFormat="1" ht="28.9" customHeight="1">
      <c r="C1122" s="60" t="s">
        <v>546</v>
      </c>
      <c r="D1122" s="160" t="s">
        <v>2219</v>
      </c>
      <c r="E1122" s="91" t="s">
        <v>846</v>
      </c>
      <c r="F1122" s="212" t="s">
        <v>387</v>
      </c>
      <c r="G1122" s="213">
        <v>12</v>
      </c>
      <c r="H1122" s="50">
        <v>0</v>
      </c>
      <c r="I1122" s="56">
        <v>0</v>
      </c>
      <c r="J1122" s="50">
        <v>0</v>
      </c>
      <c r="K1122" s="50">
        <f t="shared" si="98"/>
        <v>0</v>
      </c>
      <c r="L1122" s="52">
        <f t="shared" si="99"/>
        <v>0</v>
      </c>
    </row>
    <row r="1123" spans="3:12" s="78" customFormat="1" ht="28.9" customHeight="1">
      <c r="C1123" s="60" t="s">
        <v>547</v>
      </c>
      <c r="D1123" s="111" t="s">
        <v>2212</v>
      </c>
      <c r="E1123" s="91" t="s">
        <v>846</v>
      </c>
      <c r="F1123" s="212" t="s">
        <v>378</v>
      </c>
      <c r="G1123" s="213">
        <v>1</v>
      </c>
      <c r="H1123" s="50">
        <v>0</v>
      </c>
      <c r="I1123" s="56">
        <v>0</v>
      </c>
      <c r="J1123" s="50">
        <v>0</v>
      </c>
      <c r="K1123" s="50">
        <f t="shared" si="98"/>
        <v>0</v>
      </c>
      <c r="L1123" s="52">
        <f t="shared" si="99"/>
        <v>0</v>
      </c>
    </row>
    <row r="1124" spans="3:12" s="78" customFormat="1" ht="28.9" customHeight="1">
      <c r="C1124" s="60" t="s">
        <v>548</v>
      </c>
      <c r="D1124" s="111" t="s">
        <v>2211</v>
      </c>
      <c r="E1124" s="91" t="s">
        <v>846</v>
      </c>
      <c r="F1124" s="212" t="s">
        <v>378</v>
      </c>
      <c r="G1124" s="213">
        <v>1</v>
      </c>
      <c r="H1124" s="50">
        <v>0</v>
      </c>
      <c r="I1124" s="56">
        <v>0</v>
      </c>
      <c r="J1124" s="50">
        <v>0</v>
      </c>
      <c r="K1124" s="50">
        <f t="shared" si="98"/>
        <v>0</v>
      </c>
      <c r="L1124" s="52">
        <f t="shared" si="99"/>
        <v>0</v>
      </c>
    </row>
    <row r="1125" spans="3:12" s="78" customFormat="1" ht="28.9" customHeight="1">
      <c r="C1125" s="60" t="s">
        <v>549</v>
      </c>
      <c r="D1125" s="160" t="s">
        <v>2220</v>
      </c>
      <c r="E1125" s="91" t="s">
        <v>846</v>
      </c>
      <c r="F1125" s="48" t="s">
        <v>378</v>
      </c>
      <c r="G1125" s="77">
        <v>2</v>
      </c>
      <c r="H1125" s="50">
        <v>0</v>
      </c>
      <c r="I1125" s="56">
        <v>0</v>
      </c>
      <c r="J1125" s="50">
        <v>0</v>
      </c>
      <c r="K1125" s="50">
        <f t="shared" ref="K1125:K1131" si="100">+H1125+I1125+J1125</f>
        <v>0</v>
      </c>
      <c r="L1125" s="52">
        <f t="shared" ref="L1125:L1131" si="101">+K1125*G1125</f>
        <v>0</v>
      </c>
    </row>
    <row r="1126" spans="3:12" s="78" customFormat="1" ht="28.9" customHeight="1">
      <c r="C1126" s="60" t="s">
        <v>550</v>
      </c>
      <c r="D1126" s="111" t="s">
        <v>2215</v>
      </c>
      <c r="E1126" s="91" t="s">
        <v>846</v>
      </c>
      <c r="F1126" s="48" t="s">
        <v>387</v>
      </c>
      <c r="G1126" s="77">
        <v>2</v>
      </c>
      <c r="H1126" s="50">
        <v>0</v>
      </c>
      <c r="I1126" s="56">
        <v>0</v>
      </c>
      <c r="J1126" s="50">
        <v>0</v>
      </c>
      <c r="K1126" s="50">
        <f t="shared" si="100"/>
        <v>0</v>
      </c>
      <c r="L1126" s="52">
        <f t="shared" si="101"/>
        <v>0</v>
      </c>
    </row>
    <row r="1127" spans="3:12" s="78" customFormat="1" ht="28.9" customHeight="1">
      <c r="C1127" s="60" t="s">
        <v>551</v>
      </c>
      <c r="D1127" s="111" t="s">
        <v>795</v>
      </c>
      <c r="E1127" s="91" t="s">
        <v>846</v>
      </c>
      <c r="F1127" s="48" t="s">
        <v>378</v>
      </c>
      <c r="G1127" s="77">
        <v>1</v>
      </c>
      <c r="H1127" s="50">
        <v>0</v>
      </c>
      <c r="I1127" s="56">
        <v>0</v>
      </c>
      <c r="J1127" s="50">
        <v>0</v>
      </c>
      <c r="K1127" s="50">
        <f t="shared" si="100"/>
        <v>0</v>
      </c>
      <c r="L1127" s="52">
        <f t="shared" si="101"/>
        <v>0</v>
      </c>
    </row>
    <row r="1128" spans="3:12" s="78" customFormat="1" ht="28.9" customHeight="1">
      <c r="C1128" s="60"/>
      <c r="D1128" s="111"/>
      <c r="E1128" s="91"/>
      <c r="F1128" s="48"/>
      <c r="G1128" s="77"/>
      <c r="H1128" s="50"/>
      <c r="I1128" s="56"/>
      <c r="J1128" s="50"/>
      <c r="K1128" s="50"/>
      <c r="L1128" s="52"/>
    </row>
    <row r="1129" spans="3:12" s="78" customFormat="1" ht="28.9" customHeight="1">
      <c r="C1129" s="60" t="s">
        <v>552</v>
      </c>
      <c r="D1129" s="111" t="s">
        <v>2278</v>
      </c>
      <c r="E1129" s="91"/>
      <c r="F1129" s="76"/>
      <c r="G1129" s="77"/>
      <c r="H1129" s="50"/>
      <c r="I1129" s="56"/>
      <c r="J1129" s="50"/>
      <c r="K1129" s="50"/>
      <c r="L1129" s="52"/>
    </row>
    <row r="1130" spans="3:12" s="78" customFormat="1" ht="28.9" customHeight="1">
      <c r="C1130" s="60"/>
      <c r="D1130" s="111"/>
      <c r="E1130" s="91"/>
      <c r="F1130" s="48"/>
      <c r="G1130" s="77"/>
      <c r="H1130" s="50"/>
      <c r="I1130" s="56"/>
      <c r="J1130" s="50"/>
      <c r="K1130" s="50"/>
      <c r="L1130" s="52"/>
    </row>
    <row r="1131" spans="3:12" s="78" customFormat="1" ht="28.9" customHeight="1">
      <c r="C1131" s="60" t="s">
        <v>553</v>
      </c>
      <c r="D1131" s="111" t="s">
        <v>2205</v>
      </c>
      <c r="E1131" s="91" t="s">
        <v>846</v>
      </c>
      <c r="F1131" s="48" t="s">
        <v>378</v>
      </c>
      <c r="G1131" s="77">
        <v>1</v>
      </c>
      <c r="H1131" s="50">
        <v>0</v>
      </c>
      <c r="I1131" s="56">
        <v>0</v>
      </c>
      <c r="J1131" s="50">
        <v>0</v>
      </c>
      <c r="K1131" s="50">
        <f t="shared" si="100"/>
        <v>0</v>
      </c>
      <c r="L1131" s="52">
        <f t="shared" si="101"/>
        <v>0</v>
      </c>
    </row>
    <row r="1132" spans="3:12" s="78" customFormat="1" ht="28.9" customHeight="1">
      <c r="C1132" s="60" t="s">
        <v>554</v>
      </c>
      <c r="D1132" s="111" t="s">
        <v>2206</v>
      </c>
      <c r="E1132" s="91" t="s">
        <v>846</v>
      </c>
      <c r="F1132" s="48" t="s">
        <v>378</v>
      </c>
      <c r="G1132" s="77">
        <v>2</v>
      </c>
      <c r="H1132" s="50">
        <v>0</v>
      </c>
      <c r="I1132" s="56">
        <v>0</v>
      </c>
      <c r="J1132" s="50">
        <v>0</v>
      </c>
      <c r="K1132" s="50">
        <f t="shared" si="98"/>
        <v>0</v>
      </c>
      <c r="L1132" s="52">
        <f t="shared" si="99"/>
        <v>0</v>
      </c>
    </row>
    <row r="1133" spans="3:12" s="78" customFormat="1" ht="28.9" customHeight="1">
      <c r="C1133" s="60" t="s">
        <v>555</v>
      </c>
      <c r="D1133" s="111" t="s">
        <v>2207</v>
      </c>
      <c r="E1133" s="91" t="s">
        <v>846</v>
      </c>
      <c r="F1133" s="48" t="s">
        <v>378</v>
      </c>
      <c r="G1133" s="77">
        <v>2</v>
      </c>
      <c r="H1133" s="50">
        <v>0</v>
      </c>
      <c r="I1133" s="56">
        <v>0</v>
      </c>
      <c r="J1133" s="50">
        <v>0</v>
      </c>
      <c r="K1133" s="50">
        <f t="shared" si="98"/>
        <v>0</v>
      </c>
      <c r="L1133" s="52">
        <f t="shared" si="99"/>
        <v>0</v>
      </c>
    </row>
    <row r="1134" spans="3:12" s="78" customFormat="1" ht="28.9" customHeight="1">
      <c r="C1134" s="60" t="s">
        <v>556</v>
      </c>
      <c r="D1134" s="111" t="s">
        <v>2208</v>
      </c>
      <c r="E1134" s="91" t="s">
        <v>846</v>
      </c>
      <c r="F1134" s="48" t="s">
        <v>378</v>
      </c>
      <c r="G1134" s="77">
        <v>4</v>
      </c>
      <c r="H1134" s="50">
        <v>0</v>
      </c>
      <c r="I1134" s="56">
        <v>0</v>
      </c>
      <c r="J1134" s="50">
        <v>0</v>
      </c>
      <c r="K1134" s="50">
        <f t="shared" ref="K1134:K1142" si="102">+H1134+I1134+J1134</f>
        <v>0</v>
      </c>
      <c r="L1134" s="52">
        <f t="shared" ref="L1134:L1142" si="103">+K1134*G1134</f>
        <v>0</v>
      </c>
    </row>
    <row r="1135" spans="3:12" s="78" customFormat="1" ht="28.9" customHeight="1">
      <c r="C1135" s="60" t="s">
        <v>557</v>
      </c>
      <c r="D1135" s="111" t="s">
        <v>2209</v>
      </c>
      <c r="E1135" s="91" t="s">
        <v>846</v>
      </c>
      <c r="F1135" s="48" t="s">
        <v>378</v>
      </c>
      <c r="G1135" s="77">
        <v>5</v>
      </c>
      <c r="H1135" s="50">
        <v>0</v>
      </c>
      <c r="I1135" s="56">
        <v>0</v>
      </c>
      <c r="J1135" s="50">
        <v>0</v>
      </c>
      <c r="K1135" s="50">
        <f t="shared" si="102"/>
        <v>0</v>
      </c>
      <c r="L1135" s="52">
        <f t="shared" si="103"/>
        <v>0</v>
      </c>
    </row>
    <row r="1136" spans="3:12" s="78" customFormat="1" ht="28.9" customHeight="1">
      <c r="C1136" s="60" t="s">
        <v>558</v>
      </c>
      <c r="D1136" s="111" t="s">
        <v>2218</v>
      </c>
      <c r="E1136" s="91" t="s">
        <v>846</v>
      </c>
      <c r="F1136" s="212" t="s">
        <v>387</v>
      </c>
      <c r="G1136" s="213">
        <v>87</v>
      </c>
      <c r="H1136" s="50">
        <v>0</v>
      </c>
      <c r="I1136" s="56">
        <v>0</v>
      </c>
      <c r="J1136" s="50">
        <v>0</v>
      </c>
      <c r="K1136" s="50">
        <f t="shared" si="102"/>
        <v>0</v>
      </c>
      <c r="L1136" s="52">
        <f t="shared" si="103"/>
        <v>0</v>
      </c>
    </row>
    <row r="1137" spans="3:12" s="78" customFormat="1" ht="28.9" customHeight="1">
      <c r="C1137" s="60" t="s">
        <v>559</v>
      </c>
      <c r="D1137" s="160" t="s">
        <v>2219</v>
      </c>
      <c r="E1137" s="91" t="s">
        <v>846</v>
      </c>
      <c r="F1137" s="212" t="s">
        <v>387</v>
      </c>
      <c r="G1137" s="213">
        <v>11</v>
      </c>
      <c r="H1137" s="50">
        <v>0</v>
      </c>
      <c r="I1137" s="56">
        <v>0</v>
      </c>
      <c r="J1137" s="50">
        <v>0</v>
      </c>
      <c r="K1137" s="50">
        <f t="shared" si="102"/>
        <v>0</v>
      </c>
      <c r="L1137" s="52">
        <f t="shared" si="103"/>
        <v>0</v>
      </c>
    </row>
    <row r="1138" spans="3:12" s="78" customFormat="1" ht="28.9" customHeight="1">
      <c r="C1138" s="60" t="s">
        <v>560</v>
      </c>
      <c r="D1138" s="111" t="s">
        <v>2212</v>
      </c>
      <c r="E1138" s="91" t="s">
        <v>846</v>
      </c>
      <c r="F1138" s="212" t="s">
        <v>378</v>
      </c>
      <c r="G1138" s="213">
        <v>1</v>
      </c>
      <c r="H1138" s="50">
        <v>0</v>
      </c>
      <c r="I1138" s="56">
        <v>0</v>
      </c>
      <c r="J1138" s="50">
        <v>0</v>
      </c>
      <c r="K1138" s="50">
        <f t="shared" si="102"/>
        <v>0</v>
      </c>
      <c r="L1138" s="52">
        <f t="shared" si="103"/>
        <v>0</v>
      </c>
    </row>
    <row r="1139" spans="3:12" s="78" customFormat="1" ht="28.9" customHeight="1">
      <c r="C1139" s="60" t="s">
        <v>561</v>
      </c>
      <c r="D1139" s="111" t="s">
        <v>2211</v>
      </c>
      <c r="E1139" s="91" t="s">
        <v>846</v>
      </c>
      <c r="F1139" s="212" t="s">
        <v>378</v>
      </c>
      <c r="G1139" s="213">
        <v>1</v>
      </c>
      <c r="H1139" s="50">
        <v>0</v>
      </c>
      <c r="I1139" s="56">
        <v>0</v>
      </c>
      <c r="J1139" s="50">
        <v>0</v>
      </c>
      <c r="K1139" s="50">
        <f t="shared" si="102"/>
        <v>0</v>
      </c>
      <c r="L1139" s="52">
        <f t="shared" si="103"/>
        <v>0</v>
      </c>
    </row>
    <row r="1140" spans="3:12" s="78" customFormat="1" ht="28.9" customHeight="1">
      <c r="C1140" s="60" t="s">
        <v>562</v>
      </c>
      <c r="D1140" s="160" t="s">
        <v>2220</v>
      </c>
      <c r="E1140" s="91" t="s">
        <v>846</v>
      </c>
      <c r="F1140" s="48" t="s">
        <v>378</v>
      </c>
      <c r="G1140" s="77">
        <v>3</v>
      </c>
      <c r="H1140" s="50">
        <v>0</v>
      </c>
      <c r="I1140" s="56">
        <v>0</v>
      </c>
      <c r="J1140" s="50">
        <v>0</v>
      </c>
      <c r="K1140" s="50">
        <f t="shared" si="102"/>
        <v>0</v>
      </c>
      <c r="L1140" s="52">
        <f t="shared" si="103"/>
        <v>0</v>
      </c>
    </row>
    <row r="1141" spans="3:12" s="78" customFormat="1" ht="28.9" customHeight="1">
      <c r="C1141" s="60" t="s">
        <v>563</v>
      </c>
      <c r="D1141" s="111" t="s">
        <v>2215</v>
      </c>
      <c r="E1141" s="91" t="s">
        <v>846</v>
      </c>
      <c r="F1141" s="48" t="s">
        <v>387</v>
      </c>
      <c r="G1141" s="77">
        <v>2</v>
      </c>
      <c r="H1141" s="50">
        <v>0</v>
      </c>
      <c r="I1141" s="56">
        <v>0</v>
      </c>
      <c r="J1141" s="50">
        <v>0</v>
      </c>
      <c r="K1141" s="50">
        <f t="shared" si="102"/>
        <v>0</v>
      </c>
      <c r="L1141" s="52">
        <f t="shared" si="103"/>
        <v>0</v>
      </c>
    </row>
    <row r="1142" spans="3:12" s="78" customFormat="1" ht="28.9" customHeight="1">
      <c r="C1142" s="60" t="s">
        <v>564</v>
      </c>
      <c r="D1142" s="111" t="s">
        <v>795</v>
      </c>
      <c r="E1142" s="91" t="s">
        <v>846</v>
      </c>
      <c r="F1142" s="48" t="s">
        <v>378</v>
      </c>
      <c r="G1142" s="77">
        <v>1</v>
      </c>
      <c r="H1142" s="50">
        <v>0</v>
      </c>
      <c r="I1142" s="56">
        <v>0</v>
      </c>
      <c r="J1142" s="50">
        <v>0</v>
      </c>
      <c r="K1142" s="50">
        <f t="shared" si="102"/>
        <v>0</v>
      </c>
      <c r="L1142" s="52">
        <f t="shared" si="103"/>
        <v>0</v>
      </c>
    </row>
    <row r="1143" spans="3:12" s="78" customFormat="1" ht="28.9" customHeight="1">
      <c r="C1143" s="60"/>
      <c r="D1143" s="111"/>
      <c r="E1143" s="91"/>
      <c r="F1143" s="48"/>
      <c r="G1143" s="77"/>
      <c r="H1143" s="50"/>
      <c r="I1143" s="56"/>
      <c r="J1143" s="50"/>
      <c r="K1143" s="50"/>
      <c r="L1143" s="52"/>
    </row>
    <row r="1144" spans="3:12" s="78" customFormat="1" ht="28.9" customHeight="1">
      <c r="C1144" s="60" t="s">
        <v>565</v>
      </c>
      <c r="D1144" s="111" t="s">
        <v>481</v>
      </c>
      <c r="E1144" s="91"/>
      <c r="F1144" s="48"/>
      <c r="G1144" s="77"/>
      <c r="H1144" s="50"/>
      <c r="I1144" s="56"/>
      <c r="J1144" s="50"/>
      <c r="K1144" s="50"/>
      <c r="L1144" s="52"/>
    </row>
    <row r="1145" spans="3:12" s="78" customFormat="1" ht="28.9" customHeight="1">
      <c r="C1145" s="60"/>
      <c r="D1145" s="111"/>
      <c r="E1145" s="91"/>
      <c r="F1145" s="48"/>
      <c r="G1145" s="77"/>
      <c r="H1145" s="50"/>
      <c r="I1145" s="56"/>
      <c r="J1145" s="50"/>
      <c r="K1145" s="50"/>
      <c r="L1145" s="52"/>
    </row>
    <row r="1146" spans="3:12" s="78" customFormat="1" ht="28.9" customHeight="1">
      <c r="C1146" s="60" t="s">
        <v>566</v>
      </c>
      <c r="D1146" s="111" t="s">
        <v>482</v>
      </c>
      <c r="E1146" s="91" t="s">
        <v>846</v>
      </c>
      <c r="F1146" s="48" t="s">
        <v>485</v>
      </c>
      <c r="G1146" s="77">
        <v>180</v>
      </c>
      <c r="H1146" s="50">
        <v>0</v>
      </c>
      <c r="I1146" s="56">
        <v>0</v>
      </c>
      <c r="J1146" s="50">
        <v>0</v>
      </c>
      <c r="K1146" s="50">
        <f t="shared" ref="K1146:K1155" si="104">+H1146+I1146+J1146</f>
        <v>0</v>
      </c>
      <c r="L1146" s="52">
        <f t="shared" ref="L1146:L1155" si="105">+K1146*G1146</f>
        <v>0</v>
      </c>
    </row>
    <row r="1147" spans="3:12" s="78" customFormat="1" ht="28.9" customHeight="1">
      <c r="C1147" s="60" t="s">
        <v>567</v>
      </c>
      <c r="D1147" s="111" t="s">
        <v>483</v>
      </c>
      <c r="E1147" s="91" t="s">
        <v>846</v>
      </c>
      <c r="F1147" s="48" t="s">
        <v>378</v>
      </c>
      <c r="G1147" s="77">
        <v>72</v>
      </c>
      <c r="H1147" s="50">
        <v>0</v>
      </c>
      <c r="I1147" s="56">
        <v>0</v>
      </c>
      <c r="J1147" s="50">
        <v>0</v>
      </c>
      <c r="K1147" s="50">
        <f t="shared" si="104"/>
        <v>0</v>
      </c>
      <c r="L1147" s="52">
        <f t="shared" si="105"/>
        <v>0</v>
      </c>
    </row>
    <row r="1148" spans="3:12" s="78" customFormat="1" ht="28.9" customHeight="1">
      <c r="C1148" s="60" t="s">
        <v>568</v>
      </c>
      <c r="D1148" s="111" t="s">
        <v>484</v>
      </c>
      <c r="E1148" s="91" t="s">
        <v>846</v>
      </c>
      <c r="F1148" s="48" t="s">
        <v>307</v>
      </c>
      <c r="G1148" s="77">
        <v>18</v>
      </c>
      <c r="H1148" s="50">
        <v>0</v>
      </c>
      <c r="I1148" s="56">
        <v>0</v>
      </c>
      <c r="J1148" s="50">
        <v>0</v>
      </c>
      <c r="K1148" s="50">
        <f t="shared" si="104"/>
        <v>0</v>
      </c>
      <c r="L1148" s="52">
        <f t="shared" si="105"/>
        <v>0</v>
      </c>
    </row>
    <row r="1149" spans="3:12" s="78" customFormat="1" ht="28.9" customHeight="1">
      <c r="C1149" s="60"/>
      <c r="D1149" s="111"/>
      <c r="E1149" s="91"/>
      <c r="F1149" s="48"/>
      <c r="G1149" s="77"/>
      <c r="H1149" s="50"/>
      <c r="I1149" s="56"/>
      <c r="J1149" s="50"/>
      <c r="K1149" s="50"/>
      <c r="L1149" s="52"/>
    </row>
    <row r="1150" spans="3:12" s="78" customFormat="1" ht="28.9" customHeight="1">
      <c r="C1150" s="60" t="s">
        <v>569</v>
      </c>
      <c r="D1150" s="111" t="s">
        <v>486</v>
      </c>
      <c r="E1150" s="91"/>
      <c r="F1150" s="48"/>
      <c r="G1150" s="77"/>
      <c r="H1150" s="50"/>
      <c r="I1150" s="56"/>
      <c r="J1150" s="50"/>
      <c r="K1150" s="50"/>
      <c r="L1150" s="52"/>
    </row>
    <row r="1151" spans="3:12" s="78" customFormat="1" ht="28.9" customHeight="1">
      <c r="C1151" s="60"/>
      <c r="D1151" s="111"/>
      <c r="E1151" s="91"/>
      <c r="F1151" s="48"/>
      <c r="G1151" s="77"/>
      <c r="H1151" s="50"/>
      <c r="I1151" s="56"/>
      <c r="J1151" s="50"/>
      <c r="K1151" s="50"/>
      <c r="L1151" s="52"/>
    </row>
    <row r="1152" spans="3:12" s="78" customFormat="1" ht="28.9" customHeight="1">
      <c r="C1152" s="60" t="s">
        <v>570</v>
      </c>
      <c r="D1152" s="111" t="s">
        <v>482</v>
      </c>
      <c r="E1152" s="91" t="s">
        <v>846</v>
      </c>
      <c r="F1152" s="48" t="s">
        <v>485</v>
      </c>
      <c r="G1152" s="77">
        <v>1080</v>
      </c>
      <c r="H1152" s="50">
        <v>0</v>
      </c>
      <c r="I1152" s="56">
        <v>0</v>
      </c>
      <c r="J1152" s="50">
        <v>0</v>
      </c>
      <c r="K1152" s="50">
        <f>+H1152+I1152+J1152</f>
        <v>0</v>
      </c>
      <c r="L1152" s="52">
        <f>+K1152*G1152</f>
        <v>0</v>
      </c>
    </row>
    <row r="1153" spans="3:12" s="78" customFormat="1" ht="28.9" customHeight="1">
      <c r="C1153" s="60" t="s">
        <v>571</v>
      </c>
      <c r="D1153" s="111" t="s">
        <v>487</v>
      </c>
      <c r="E1153" s="91" t="s">
        <v>846</v>
      </c>
      <c r="F1153" s="48" t="s">
        <v>307</v>
      </c>
      <c r="G1153" s="77">
        <v>80</v>
      </c>
      <c r="H1153" s="50">
        <v>0</v>
      </c>
      <c r="I1153" s="56">
        <v>0</v>
      </c>
      <c r="J1153" s="50">
        <v>0</v>
      </c>
      <c r="K1153" s="50">
        <f>+H1153+I1153+J1153</f>
        <v>0</v>
      </c>
      <c r="L1153" s="52">
        <f>+K1153*G1153</f>
        <v>0</v>
      </c>
    </row>
    <row r="1154" spans="3:12" s="78" customFormat="1" ht="28.9" customHeight="1">
      <c r="C1154" s="60" t="s">
        <v>572</v>
      </c>
      <c r="D1154" s="111" t="s">
        <v>483</v>
      </c>
      <c r="E1154" s="91" t="s">
        <v>846</v>
      </c>
      <c r="F1154" s="48" t="s">
        <v>378</v>
      </c>
      <c r="G1154" s="77">
        <v>864</v>
      </c>
      <c r="H1154" s="50">
        <v>0</v>
      </c>
      <c r="I1154" s="56">
        <v>0</v>
      </c>
      <c r="J1154" s="50">
        <v>0</v>
      </c>
      <c r="K1154" s="50">
        <f t="shared" si="104"/>
        <v>0</v>
      </c>
      <c r="L1154" s="52">
        <f t="shared" si="105"/>
        <v>0</v>
      </c>
    </row>
    <row r="1155" spans="3:12" s="78" customFormat="1" ht="28.9" customHeight="1">
      <c r="C1155" s="60" t="s">
        <v>573</v>
      </c>
      <c r="D1155" s="111" t="s">
        <v>488</v>
      </c>
      <c r="E1155" s="91" t="s">
        <v>846</v>
      </c>
      <c r="F1155" s="48" t="s">
        <v>307</v>
      </c>
      <c r="G1155" s="77">
        <v>432</v>
      </c>
      <c r="H1155" s="50">
        <v>0</v>
      </c>
      <c r="I1155" s="56">
        <v>0</v>
      </c>
      <c r="J1155" s="50">
        <v>0</v>
      </c>
      <c r="K1155" s="50">
        <f t="shared" si="104"/>
        <v>0</v>
      </c>
      <c r="L1155" s="52">
        <f t="shared" si="105"/>
        <v>0</v>
      </c>
    </row>
    <row r="1156" spans="3:12" s="78" customFormat="1" ht="28.9" customHeight="1">
      <c r="C1156" s="60" t="s">
        <v>574</v>
      </c>
      <c r="D1156" s="111" t="s">
        <v>489</v>
      </c>
      <c r="E1156" s="91" t="s">
        <v>846</v>
      </c>
      <c r="F1156" s="48" t="s">
        <v>378</v>
      </c>
      <c r="G1156" s="77">
        <v>432</v>
      </c>
      <c r="H1156" s="50">
        <v>0</v>
      </c>
      <c r="I1156" s="56">
        <v>0</v>
      </c>
      <c r="J1156" s="50">
        <v>0</v>
      </c>
      <c r="K1156" s="50">
        <f>+H1156+I1156+J1156</f>
        <v>0</v>
      </c>
      <c r="L1156" s="52">
        <f>+K1156*G1156</f>
        <v>0</v>
      </c>
    </row>
    <row r="1157" spans="3:12" s="78" customFormat="1" ht="28.9" customHeight="1">
      <c r="C1157" s="60"/>
      <c r="D1157" s="111"/>
      <c r="E1157" s="91"/>
      <c r="F1157" s="48"/>
      <c r="G1157" s="77"/>
      <c r="H1157" s="50"/>
      <c r="I1157" s="56"/>
      <c r="J1157" s="50"/>
      <c r="K1157" s="50"/>
      <c r="L1157" s="52"/>
    </row>
    <row r="1158" spans="3:12" s="78" customFormat="1" ht="28.9" customHeight="1">
      <c r="C1158" s="60" t="s">
        <v>934</v>
      </c>
      <c r="D1158" s="111" t="s">
        <v>2171</v>
      </c>
      <c r="E1158" s="91"/>
      <c r="F1158" s="48"/>
      <c r="G1158" s="77"/>
      <c r="H1158" s="50"/>
      <c r="I1158" s="56"/>
      <c r="J1158" s="50"/>
      <c r="K1158" s="50"/>
      <c r="L1158" s="52"/>
    </row>
    <row r="1159" spans="3:12" s="78" customFormat="1" ht="28.9" customHeight="1">
      <c r="C1159" s="60"/>
      <c r="D1159" s="111"/>
      <c r="E1159" s="91"/>
      <c r="F1159" s="48"/>
      <c r="G1159" s="77"/>
      <c r="H1159" s="50"/>
      <c r="I1159" s="56"/>
      <c r="J1159" s="50"/>
      <c r="K1159" s="50"/>
      <c r="L1159" s="52"/>
    </row>
    <row r="1160" spans="3:12" s="78" customFormat="1" ht="28.9" customHeight="1">
      <c r="C1160" s="60" t="s">
        <v>935</v>
      </c>
      <c r="D1160" s="111" t="s">
        <v>2222</v>
      </c>
      <c r="E1160" s="91" t="s">
        <v>938</v>
      </c>
      <c r="F1160" s="48" t="s">
        <v>378</v>
      </c>
      <c r="G1160" s="77">
        <v>2</v>
      </c>
      <c r="H1160" s="50">
        <v>0</v>
      </c>
      <c r="I1160" s="56">
        <v>0</v>
      </c>
      <c r="J1160" s="50">
        <v>0</v>
      </c>
      <c r="K1160" s="50">
        <f>+H1160+I1160+J1160</f>
        <v>0</v>
      </c>
      <c r="L1160" s="52">
        <f>+K1160*G1160</f>
        <v>0</v>
      </c>
    </row>
    <row r="1161" spans="3:12" s="78" customFormat="1" ht="28.9" customHeight="1">
      <c r="C1161" s="60" t="s">
        <v>936</v>
      </c>
      <c r="D1161" s="111" t="s">
        <v>2221</v>
      </c>
      <c r="E1161" s="91" t="s">
        <v>938</v>
      </c>
      <c r="F1161" s="48" t="s">
        <v>378</v>
      </c>
      <c r="G1161" s="77">
        <v>6</v>
      </c>
      <c r="H1161" s="50">
        <v>0</v>
      </c>
      <c r="I1161" s="56">
        <v>0</v>
      </c>
      <c r="J1161" s="50">
        <v>0</v>
      </c>
      <c r="K1161" s="50">
        <f>+H1161+I1161+J1161</f>
        <v>0</v>
      </c>
      <c r="L1161" s="52">
        <f>+K1161*G1161</f>
        <v>0</v>
      </c>
    </row>
    <row r="1162" spans="3:12" s="78" customFormat="1" ht="28.9" customHeight="1">
      <c r="C1162" s="60" t="s">
        <v>937</v>
      </c>
      <c r="D1162" s="111" t="s">
        <v>2223</v>
      </c>
      <c r="E1162" s="91" t="s">
        <v>938</v>
      </c>
      <c r="F1162" s="48" t="s">
        <v>378</v>
      </c>
      <c r="G1162" s="77">
        <v>8</v>
      </c>
      <c r="H1162" s="50">
        <v>0</v>
      </c>
      <c r="I1162" s="56">
        <v>0</v>
      </c>
      <c r="J1162" s="50">
        <v>0</v>
      </c>
      <c r="K1162" s="50">
        <f>+H1162+I1162+J1162</f>
        <v>0</v>
      </c>
      <c r="L1162" s="52">
        <f>+K1162*G1162</f>
        <v>0</v>
      </c>
    </row>
    <row r="1163" spans="3:12" s="78" customFormat="1" ht="28.9" customHeight="1">
      <c r="C1163" s="60"/>
      <c r="D1163" s="111"/>
      <c r="E1163" s="91"/>
      <c r="F1163" s="48"/>
      <c r="G1163" s="77"/>
      <c r="H1163" s="50"/>
      <c r="I1163" s="56"/>
      <c r="J1163" s="50"/>
      <c r="K1163" s="50"/>
      <c r="L1163" s="52"/>
    </row>
    <row r="1164" spans="3:12" s="78" customFormat="1">
      <c r="C1164" s="60"/>
      <c r="D1164" s="111"/>
      <c r="E1164" s="91"/>
      <c r="F1164" s="48"/>
      <c r="G1164" s="77"/>
      <c r="H1164" s="50"/>
      <c r="I1164" s="56"/>
      <c r="J1164" s="50"/>
      <c r="K1164" s="50"/>
      <c r="L1164" s="52"/>
    </row>
    <row r="1165" spans="3:12" s="35" customFormat="1" ht="42" customHeight="1">
      <c r="C1165" s="62"/>
      <c r="D1165" s="63" t="s">
        <v>847</v>
      </c>
      <c r="E1165" s="64"/>
      <c r="F1165" s="65"/>
      <c r="G1165" s="66"/>
      <c r="H1165" s="67">
        <f>SUMPRODUCT(G1047:G1164,H1047:H1164)</f>
        <v>0</v>
      </c>
      <c r="I1165" s="67">
        <f>SUMPRODUCT(G1047:G1164,I1047:I1164)</f>
        <v>0</v>
      </c>
      <c r="J1165" s="67">
        <f>SUMPRODUCT(G1047:G1164,J1047:J1164)</f>
        <v>0</v>
      </c>
      <c r="K1165" s="68"/>
      <c r="L1165" s="69">
        <f>SUM(L1047:L1164)</f>
        <v>0</v>
      </c>
    </row>
    <row r="1166" spans="3:12" s="119" customFormat="1">
      <c r="C1166" s="112"/>
      <c r="D1166" s="39"/>
      <c r="E1166" s="40"/>
      <c r="F1166" s="113"/>
      <c r="G1166" s="114"/>
      <c r="H1166" s="115"/>
      <c r="I1166" s="116"/>
      <c r="J1166" s="116"/>
      <c r="K1166" s="117"/>
      <c r="L1166" s="118"/>
    </row>
    <row r="1167" spans="3:12" s="35" customFormat="1" ht="40.9" customHeight="1">
      <c r="C1167" s="25" t="s">
        <v>11</v>
      </c>
      <c r="D1167" s="26" t="s">
        <v>68</v>
      </c>
      <c r="E1167" s="27"/>
      <c r="F1167" s="28"/>
      <c r="G1167" s="29"/>
      <c r="H1167" s="30"/>
      <c r="I1167" s="31"/>
      <c r="J1167" s="31"/>
      <c r="K1167" s="32"/>
      <c r="L1167" s="33"/>
    </row>
    <row r="1168" spans="3:12" s="35" customFormat="1" ht="45" customHeight="1">
      <c r="C1168" s="25"/>
      <c r="D1168" s="26" t="s">
        <v>69</v>
      </c>
      <c r="E1168" s="27"/>
      <c r="F1168" s="28"/>
      <c r="G1168" s="29"/>
      <c r="H1168" s="30"/>
      <c r="I1168" s="31"/>
      <c r="J1168" s="31"/>
      <c r="K1168" s="32"/>
      <c r="L1168" s="33"/>
    </row>
    <row r="1169" spans="3:12" s="34" customFormat="1" ht="168.75" customHeight="1">
      <c r="C1169" s="154"/>
      <c r="D1169" s="161" t="s">
        <v>460</v>
      </c>
      <c r="E1169" s="162"/>
      <c r="F1169" s="48"/>
      <c r="G1169" s="49"/>
      <c r="H1169" s="43"/>
      <c r="I1169" s="44"/>
      <c r="J1169" s="44"/>
      <c r="K1169" s="43"/>
      <c r="L1169" s="45"/>
    </row>
    <row r="1170" spans="3:12" s="34" customFormat="1" ht="75">
      <c r="C1170" s="154"/>
      <c r="D1170" s="161" t="s">
        <v>2305</v>
      </c>
      <c r="E1170" s="162"/>
      <c r="F1170" s="48"/>
      <c r="G1170" s="49"/>
      <c r="H1170" s="43"/>
      <c r="I1170" s="44"/>
      <c r="J1170" s="44"/>
      <c r="K1170" s="43"/>
      <c r="L1170" s="45"/>
    </row>
    <row r="1171" spans="3:12" s="53" customFormat="1" ht="72" customHeight="1">
      <c r="C1171" s="46" t="s">
        <v>70</v>
      </c>
      <c r="D1171" s="147" t="s">
        <v>2303</v>
      </c>
      <c r="E1171" s="61" t="s">
        <v>2309</v>
      </c>
      <c r="F1171" s="48" t="s">
        <v>378</v>
      </c>
      <c r="G1171" s="77">
        <v>228</v>
      </c>
      <c r="H1171" s="120">
        <v>0</v>
      </c>
      <c r="I1171" s="54">
        <v>0</v>
      </c>
      <c r="J1171" s="50">
        <v>0</v>
      </c>
      <c r="K1171" s="50">
        <f t="shared" ref="K1171:K1192" si="106">+H1171+I1171+J1171</f>
        <v>0</v>
      </c>
      <c r="L1171" s="52">
        <f t="shared" ref="L1171:L1192" si="107">+K1171*G1171</f>
        <v>0</v>
      </c>
    </row>
    <row r="1172" spans="3:12" s="53" customFormat="1" ht="59.45" customHeight="1">
      <c r="C1172" s="46" t="s">
        <v>71</v>
      </c>
      <c r="D1172" s="147" t="s">
        <v>2304</v>
      </c>
      <c r="E1172" s="61" t="s">
        <v>2309</v>
      </c>
      <c r="F1172" s="48" t="s">
        <v>378</v>
      </c>
      <c r="G1172" s="77">
        <v>63</v>
      </c>
      <c r="H1172" s="120">
        <v>0</v>
      </c>
      <c r="I1172" s="54">
        <v>0</v>
      </c>
      <c r="J1172" s="50">
        <v>0</v>
      </c>
      <c r="K1172" s="50">
        <f t="shared" si="106"/>
        <v>0</v>
      </c>
      <c r="L1172" s="52">
        <f t="shared" si="107"/>
        <v>0</v>
      </c>
    </row>
    <row r="1173" spans="3:12" s="53" customFormat="1" ht="47.45" customHeight="1">
      <c r="C1173" s="46" t="s">
        <v>72</v>
      </c>
      <c r="D1173" s="147" t="s">
        <v>447</v>
      </c>
      <c r="E1173" s="61" t="s">
        <v>2309</v>
      </c>
      <c r="F1173" s="48" t="s">
        <v>378</v>
      </c>
      <c r="G1173" s="77">
        <v>94</v>
      </c>
      <c r="H1173" s="120">
        <v>0</v>
      </c>
      <c r="I1173" s="54">
        <v>0</v>
      </c>
      <c r="J1173" s="50">
        <v>0</v>
      </c>
      <c r="K1173" s="50">
        <f t="shared" si="106"/>
        <v>0</v>
      </c>
      <c r="L1173" s="52">
        <f t="shared" si="107"/>
        <v>0</v>
      </c>
    </row>
    <row r="1174" spans="3:12" s="53" customFormat="1" ht="50.45" customHeight="1">
      <c r="C1174" s="46" t="s">
        <v>73</v>
      </c>
      <c r="D1174" s="147" t="s">
        <v>448</v>
      </c>
      <c r="E1174" s="61" t="s">
        <v>2309</v>
      </c>
      <c r="F1174" s="48" t="s">
        <v>378</v>
      </c>
      <c r="G1174" s="77">
        <v>40</v>
      </c>
      <c r="H1174" s="120">
        <v>0</v>
      </c>
      <c r="I1174" s="54">
        <v>0</v>
      </c>
      <c r="J1174" s="50">
        <v>0</v>
      </c>
      <c r="K1174" s="50">
        <f t="shared" si="106"/>
        <v>0</v>
      </c>
      <c r="L1174" s="52">
        <f t="shared" si="107"/>
        <v>0</v>
      </c>
    </row>
    <row r="1175" spans="3:12" s="53" customFormat="1" ht="40.9" customHeight="1">
      <c r="C1175" s="46" t="s">
        <v>74</v>
      </c>
      <c r="D1175" s="147" t="s">
        <v>361</v>
      </c>
      <c r="E1175" s="61" t="s">
        <v>2309</v>
      </c>
      <c r="F1175" s="48" t="s">
        <v>378</v>
      </c>
      <c r="G1175" s="77">
        <v>4</v>
      </c>
      <c r="H1175" s="120">
        <v>0</v>
      </c>
      <c r="I1175" s="54">
        <v>0</v>
      </c>
      <c r="J1175" s="50">
        <v>0</v>
      </c>
      <c r="K1175" s="50">
        <f t="shared" si="106"/>
        <v>0</v>
      </c>
      <c r="L1175" s="52">
        <f t="shared" si="107"/>
        <v>0</v>
      </c>
    </row>
    <row r="1176" spans="3:12" s="53" customFormat="1" ht="40.9" customHeight="1">
      <c r="C1176" s="46" t="s">
        <v>75</v>
      </c>
      <c r="D1176" s="147" t="s">
        <v>362</v>
      </c>
      <c r="E1176" s="61" t="s">
        <v>2309</v>
      </c>
      <c r="F1176" s="48" t="s">
        <v>378</v>
      </c>
      <c r="G1176" s="77">
        <v>2</v>
      </c>
      <c r="H1176" s="120">
        <v>0</v>
      </c>
      <c r="I1176" s="54">
        <v>0</v>
      </c>
      <c r="J1176" s="50">
        <v>0</v>
      </c>
      <c r="K1176" s="50">
        <f t="shared" si="106"/>
        <v>0</v>
      </c>
      <c r="L1176" s="52">
        <f t="shared" si="107"/>
        <v>0</v>
      </c>
    </row>
    <row r="1177" spans="3:12" s="53" customFormat="1" ht="48.6" customHeight="1">
      <c r="C1177" s="46" t="s">
        <v>76</v>
      </c>
      <c r="D1177" s="147" t="s">
        <v>453</v>
      </c>
      <c r="E1177" s="61" t="s">
        <v>2309</v>
      </c>
      <c r="F1177" s="48" t="s">
        <v>378</v>
      </c>
      <c r="G1177" s="77">
        <v>102</v>
      </c>
      <c r="H1177" s="120">
        <v>0</v>
      </c>
      <c r="I1177" s="54">
        <v>0</v>
      </c>
      <c r="J1177" s="50">
        <v>0</v>
      </c>
      <c r="K1177" s="50">
        <f t="shared" si="106"/>
        <v>0</v>
      </c>
      <c r="L1177" s="52">
        <f t="shared" si="107"/>
        <v>0</v>
      </c>
    </row>
    <row r="1178" spans="3:12" s="53" customFormat="1" ht="30" customHeight="1">
      <c r="C1178" s="46" t="s">
        <v>77</v>
      </c>
      <c r="D1178" s="147" t="s">
        <v>939</v>
      </c>
      <c r="E1178" s="61" t="s">
        <v>2309</v>
      </c>
      <c r="F1178" s="48" t="s">
        <v>387</v>
      </c>
      <c r="G1178" s="77">
        <v>40</v>
      </c>
      <c r="H1178" s="120">
        <v>0</v>
      </c>
      <c r="I1178" s="54">
        <v>0</v>
      </c>
      <c r="J1178" s="50">
        <v>0</v>
      </c>
      <c r="K1178" s="50">
        <f t="shared" si="106"/>
        <v>0</v>
      </c>
      <c r="L1178" s="52">
        <f t="shared" si="107"/>
        <v>0</v>
      </c>
    </row>
    <row r="1179" spans="3:12" s="53" customFormat="1" ht="66.599999999999994" customHeight="1">
      <c r="C1179" s="46" t="s">
        <v>170</v>
      </c>
      <c r="D1179" s="147" t="s">
        <v>451</v>
      </c>
      <c r="E1179" s="61" t="s">
        <v>2309</v>
      </c>
      <c r="F1179" s="48" t="s">
        <v>378</v>
      </c>
      <c r="G1179" s="77">
        <v>42</v>
      </c>
      <c r="H1179" s="120">
        <v>0</v>
      </c>
      <c r="I1179" s="54">
        <v>0</v>
      </c>
      <c r="J1179" s="50">
        <v>0</v>
      </c>
      <c r="K1179" s="50">
        <f t="shared" si="106"/>
        <v>0</v>
      </c>
      <c r="L1179" s="52">
        <f t="shared" si="107"/>
        <v>0</v>
      </c>
    </row>
    <row r="1180" spans="3:12" s="53" customFormat="1" ht="57.6" customHeight="1">
      <c r="C1180" s="46" t="s">
        <v>171</v>
      </c>
      <c r="D1180" s="147" t="s">
        <v>452</v>
      </c>
      <c r="E1180" s="61" t="s">
        <v>2309</v>
      </c>
      <c r="F1180" s="48" t="s">
        <v>378</v>
      </c>
      <c r="G1180" s="77">
        <v>6</v>
      </c>
      <c r="H1180" s="120">
        <v>0</v>
      </c>
      <c r="I1180" s="54">
        <v>0</v>
      </c>
      <c r="J1180" s="50">
        <v>0</v>
      </c>
      <c r="K1180" s="50">
        <f t="shared" si="106"/>
        <v>0</v>
      </c>
      <c r="L1180" s="52">
        <f t="shared" si="107"/>
        <v>0</v>
      </c>
    </row>
    <row r="1181" spans="3:12" s="53" customFormat="1" ht="49.15" customHeight="1">
      <c r="C1181" s="46" t="s">
        <v>172</v>
      </c>
      <c r="D1181" s="147" t="s">
        <v>454</v>
      </c>
      <c r="E1181" s="61" t="s">
        <v>2309</v>
      </c>
      <c r="F1181" s="48" t="s">
        <v>378</v>
      </c>
      <c r="G1181" s="77">
        <v>30</v>
      </c>
      <c r="H1181" s="120">
        <v>0</v>
      </c>
      <c r="I1181" s="54">
        <v>0</v>
      </c>
      <c r="J1181" s="50">
        <v>0</v>
      </c>
      <c r="K1181" s="50">
        <f t="shared" si="106"/>
        <v>0</v>
      </c>
      <c r="L1181" s="52">
        <f t="shared" si="107"/>
        <v>0</v>
      </c>
    </row>
    <row r="1182" spans="3:12" s="53" customFormat="1" ht="60.6" customHeight="1">
      <c r="C1182" s="46" t="s">
        <v>255</v>
      </c>
      <c r="D1182" s="147" t="s">
        <v>455</v>
      </c>
      <c r="E1182" s="61" t="s">
        <v>2309</v>
      </c>
      <c r="F1182" s="48" t="s">
        <v>378</v>
      </c>
      <c r="G1182" s="77">
        <v>6</v>
      </c>
      <c r="H1182" s="120">
        <v>0</v>
      </c>
      <c r="I1182" s="54">
        <v>0</v>
      </c>
      <c r="J1182" s="50">
        <v>0</v>
      </c>
      <c r="K1182" s="50">
        <f>+H1182+I1182+J1182</f>
        <v>0</v>
      </c>
      <c r="L1182" s="52">
        <f>+K1182*G1182</f>
        <v>0</v>
      </c>
    </row>
    <row r="1183" spans="3:12" s="53" customFormat="1" ht="46.15" customHeight="1">
      <c r="C1183" s="46" t="s">
        <v>256</v>
      </c>
      <c r="D1183" s="163" t="s">
        <v>836</v>
      </c>
      <c r="E1183" s="61" t="s">
        <v>2309</v>
      </c>
      <c r="F1183" s="48" t="s">
        <v>378</v>
      </c>
      <c r="G1183" s="77">
        <v>1</v>
      </c>
      <c r="H1183" s="120">
        <v>0</v>
      </c>
      <c r="I1183" s="54">
        <v>0</v>
      </c>
      <c r="J1183" s="50">
        <v>0</v>
      </c>
      <c r="K1183" s="50">
        <f>+H1183+I1183+J1183</f>
        <v>0</v>
      </c>
      <c r="L1183" s="52">
        <f>+K1183*G1183</f>
        <v>0</v>
      </c>
    </row>
    <row r="1184" spans="3:12" s="53" customFormat="1" ht="46.15" customHeight="1">
      <c r="C1184" s="46" t="s">
        <v>257</v>
      </c>
      <c r="D1184" s="163" t="s">
        <v>458</v>
      </c>
      <c r="E1184" s="61" t="s">
        <v>2309</v>
      </c>
      <c r="F1184" s="48" t="s">
        <v>378</v>
      </c>
      <c r="G1184" s="77">
        <v>8</v>
      </c>
      <c r="H1184" s="120">
        <v>0</v>
      </c>
      <c r="I1184" s="54">
        <v>0</v>
      </c>
      <c r="J1184" s="50">
        <v>0</v>
      </c>
      <c r="K1184" s="50">
        <f t="shared" si="106"/>
        <v>0</v>
      </c>
      <c r="L1184" s="52">
        <f t="shared" si="107"/>
        <v>0</v>
      </c>
    </row>
    <row r="1185" spans="3:12" s="53" customFormat="1" ht="57" customHeight="1">
      <c r="C1185" s="46" t="s">
        <v>258</v>
      </c>
      <c r="D1185" s="147" t="s">
        <v>449</v>
      </c>
      <c r="E1185" s="61" t="s">
        <v>2309</v>
      </c>
      <c r="F1185" s="48" t="s">
        <v>378</v>
      </c>
      <c r="G1185" s="77">
        <v>26</v>
      </c>
      <c r="H1185" s="120">
        <v>0</v>
      </c>
      <c r="I1185" s="54">
        <v>0</v>
      </c>
      <c r="J1185" s="50">
        <v>0</v>
      </c>
      <c r="K1185" s="50">
        <f t="shared" si="106"/>
        <v>0</v>
      </c>
      <c r="L1185" s="52">
        <f t="shared" si="107"/>
        <v>0</v>
      </c>
    </row>
    <row r="1186" spans="3:12" s="53" customFormat="1" ht="48" customHeight="1">
      <c r="C1186" s="46" t="s">
        <v>259</v>
      </c>
      <c r="D1186" s="147" t="s">
        <v>450</v>
      </c>
      <c r="E1186" s="61" t="s">
        <v>2309</v>
      </c>
      <c r="F1186" s="48" t="s">
        <v>378</v>
      </c>
      <c r="G1186" s="77">
        <v>12</v>
      </c>
      <c r="H1186" s="120">
        <v>0</v>
      </c>
      <c r="I1186" s="54">
        <v>0</v>
      </c>
      <c r="J1186" s="50">
        <v>0</v>
      </c>
      <c r="K1186" s="50">
        <f>+H1186+I1186+J1186</f>
        <v>0</v>
      </c>
      <c r="L1186" s="52">
        <f>+K1186*G1186</f>
        <v>0</v>
      </c>
    </row>
    <row r="1187" spans="3:12" s="53" customFormat="1" ht="25.15" customHeight="1">
      <c r="C1187" s="46" t="s">
        <v>260</v>
      </c>
      <c r="D1187" s="147" t="s">
        <v>457</v>
      </c>
      <c r="E1187" s="61" t="s">
        <v>2309</v>
      </c>
      <c r="F1187" s="48" t="s">
        <v>378</v>
      </c>
      <c r="G1187" s="77">
        <v>4</v>
      </c>
      <c r="H1187" s="120">
        <v>0</v>
      </c>
      <c r="I1187" s="54">
        <v>0</v>
      </c>
      <c r="J1187" s="50">
        <v>0</v>
      </c>
      <c r="K1187" s="50">
        <f>+H1187+I1187+J1187</f>
        <v>0</v>
      </c>
      <c r="L1187" s="52">
        <f>+K1187*G1187</f>
        <v>0</v>
      </c>
    </row>
    <row r="1188" spans="3:12" s="53" customFormat="1" ht="39" customHeight="1">
      <c r="C1188" s="46" t="s">
        <v>261</v>
      </c>
      <c r="D1188" s="147" t="s">
        <v>823</v>
      </c>
      <c r="E1188" s="61" t="s">
        <v>2309</v>
      </c>
      <c r="F1188" s="48" t="s">
        <v>378</v>
      </c>
      <c r="G1188" s="77">
        <v>12</v>
      </c>
      <c r="H1188" s="120">
        <v>0</v>
      </c>
      <c r="I1188" s="54">
        <v>0</v>
      </c>
      <c r="J1188" s="50">
        <v>0</v>
      </c>
      <c r="K1188" s="50">
        <f t="shared" si="106"/>
        <v>0</v>
      </c>
      <c r="L1188" s="52">
        <f t="shared" si="107"/>
        <v>0</v>
      </c>
    </row>
    <row r="1189" spans="3:12" s="53" customFormat="1" ht="52.15" customHeight="1">
      <c r="C1189" s="46" t="s">
        <v>262</v>
      </c>
      <c r="D1189" s="147" t="s">
        <v>459</v>
      </c>
      <c r="E1189" s="61" t="s">
        <v>2309</v>
      </c>
      <c r="F1189" s="48" t="s">
        <v>378</v>
      </c>
      <c r="G1189" s="77">
        <v>42</v>
      </c>
      <c r="H1189" s="120">
        <v>0</v>
      </c>
      <c r="I1189" s="54">
        <v>0</v>
      </c>
      <c r="J1189" s="50">
        <v>0</v>
      </c>
      <c r="K1189" s="50">
        <f t="shared" si="106"/>
        <v>0</v>
      </c>
      <c r="L1189" s="52">
        <f t="shared" si="107"/>
        <v>0</v>
      </c>
    </row>
    <row r="1190" spans="3:12" s="53" customFormat="1" ht="54" customHeight="1">
      <c r="C1190" s="46" t="s">
        <v>263</v>
      </c>
      <c r="D1190" s="147" t="s">
        <v>932</v>
      </c>
      <c r="E1190" s="61" t="s">
        <v>2309</v>
      </c>
      <c r="F1190" s="48" t="s">
        <v>378</v>
      </c>
      <c r="G1190" s="77">
        <v>33</v>
      </c>
      <c r="H1190" s="120">
        <v>0</v>
      </c>
      <c r="I1190" s="54">
        <v>0</v>
      </c>
      <c r="J1190" s="50">
        <v>0</v>
      </c>
      <c r="K1190" s="50">
        <f t="shared" si="106"/>
        <v>0</v>
      </c>
      <c r="L1190" s="52">
        <f t="shared" si="107"/>
        <v>0</v>
      </c>
    </row>
    <row r="1191" spans="3:12" s="53" customFormat="1" ht="38.450000000000003" customHeight="1">
      <c r="C1191" s="46" t="s">
        <v>264</v>
      </c>
      <c r="D1191" s="147" t="s">
        <v>456</v>
      </c>
      <c r="E1191" s="61" t="s">
        <v>2309</v>
      </c>
      <c r="F1191" s="48" t="s">
        <v>378</v>
      </c>
      <c r="G1191" s="77">
        <v>15</v>
      </c>
      <c r="H1191" s="120">
        <v>0</v>
      </c>
      <c r="I1191" s="54">
        <v>0</v>
      </c>
      <c r="J1191" s="50">
        <v>0</v>
      </c>
      <c r="K1191" s="50">
        <f>+H1191+I1191+J1191</f>
        <v>0</v>
      </c>
      <c r="L1191" s="52">
        <f>+K1191*G1191</f>
        <v>0</v>
      </c>
    </row>
    <row r="1192" spans="3:12" s="53" customFormat="1" ht="51.6" customHeight="1">
      <c r="C1192" s="46" t="s">
        <v>265</v>
      </c>
      <c r="D1192" s="147" t="s">
        <v>940</v>
      </c>
      <c r="E1192" s="61" t="s">
        <v>2309</v>
      </c>
      <c r="F1192" s="76" t="s">
        <v>387</v>
      </c>
      <c r="G1192" s="77">
        <v>140</v>
      </c>
      <c r="H1192" s="120">
        <v>0</v>
      </c>
      <c r="I1192" s="54">
        <v>0</v>
      </c>
      <c r="J1192" s="50">
        <v>0</v>
      </c>
      <c r="K1192" s="50">
        <f t="shared" si="106"/>
        <v>0</v>
      </c>
      <c r="L1192" s="52">
        <f t="shared" si="107"/>
        <v>0</v>
      </c>
    </row>
    <row r="1193" spans="3:12" s="53" customFormat="1" ht="51.6" customHeight="1">
      <c r="C1193" s="46"/>
      <c r="D1193" s="147"/>
      <c r="E1193" s="61"/>
      <c r="F1193" s="76"/>
      <c r="G1193" s="77"/>
      <c r="H1193" s="50"/>
      <c r="I1193" s="54"/>
      <c r="J1193" s="50"/>
      <c r="K1193" s="50"/>
      <c r="L1193" s="52"/>
    </row>
    <row r="1194" spans="3:12" ht="39.950000000000003" customHeight="1">
      <c r="C1194" s="62"/>
      <c r="D1194" s="63" t="s">
        <v>728</v>
      </c>
      <c r="E1194" s="64"/>
      <c r="F1194" s="65"/>
      <c r="G1194" s="66"/>
      <c r="H1194" s="67">
        <f>SUMPRODUCT(G1171:G1192,H1171:H1192)</f>
        <v>0</v>
      </c>
      <c r="I1194" s="67">
        <f>SUMPRODUCT(G1171:G1192,I1171:I1192)</f>
        <v>0</v>
      </c>
      <c r="J1194" s="67">
        <f>SUMPRODUCT(G1171:G1192,J1171:J1192)</f>
        <v>0</v>
      </c>
      <c r="K1194" s="68"/>
      <c r="L1194" s="69">
        <f>SUM(L1171:L1192)</f>
        <v>0</v>
      </c>
    </row>
    <row r="1195" spans="3:12">
      <c r="C1195" s="94"/>
      <c r="D1195" s="95"/>
      <c r="E1195" s="96"/>
      <c r="F1195" s="97"/>
      <c r="G1195" s="98"/>
      <c r="H1195" s="99"/>
      <c r="I1195" s="102"/>
      <c r="J1195" s="102"/>
      <c r="K1195" s="51"/>
      <c r="L1195" s="101"/>
    </row>
    <row r="1196" spans="3:12" ht="48.6" customHeight="1">
      <c r="C1196" s="25" t="s">
        <v>12</v>
      </c>
      <c r="D1196" s="26" t="s">
        <v>169</v>
      </c>
      <c r="E1196" s="27"/>
      <c r="F1196" s="28"/>
      <c r="G1196" s="29"/>
      <c r="H1196" s="30"/>
      <c r="I1196" s="31"/>
      <c r="J1196" s="31"/>
      <c r="K1196" s="32"/>
      <c r="L1196" s="33"/>
    </row>
    <row r="1197" spans="3:12" s="35" customFormat="1" ht="93.75">
      <c r="C1197" s="25"/>
      <c r="D1197" s="26" t="s">
        <v>344</v>
      </c>
      <c r="E1197" s="27"/>
      <c r="F1197" s="28"/>
      <c r="G1197" s="29"/>
      <c r="H1197" s="30"/>
      <c r="I1197" s="31"/>
      <c r="J1197" s="31"/>
      <c r="K1197" s="32"/>
      <c r="L1197" s="33"/>
    </row>
    <row r="1198" spans="3:12" s="90" customFormat="1" ht="40.9" customHeight="1">
      <c r="C1198" s="154" t="s">
        <v>79</v>
      </c>
      <c r="D1198" s="155" t="s">
        <v>914</v>
      </c>
      <c r="E1198" s="86" t="s">
        <v>363</v>
      </c>
      <c r="F1198" s="76" t="s">
        <v>387</v>
      </c>
      <c r="G1198" s="164">
        <v>800</v>
      </c>
      <c r="H1198" s="50">
        <v>0</v>
      </c>
      <c r="I1198" s="54">
        <v>0</v>
      </c>
      <c r="J1198" s="50">
        <v>0</v>
      </c>
      <c r="K1198" s="50">
        <f t="shared" ref="K1198:K1215" si="108">+H1198+I1198+J1198</f>
        <v>0</v>
      </c>
      <c r="L1198" s="52">
        <f t="shared" ref="L1198:L1215" si="109">+K1198*G1198</f>
        <v>0</v>
      </c>
    </row>
    <row r="1199" spans="3:12" s="90" customFormat="1" ht="40.9" customHeight="1">
      <c r="C1199" s="154" t="s">
        <v>79</v>
      </c>
      <c r="D1199" s="155" t="s">
        <v>841</v>
      </c>
      <c r="E1199" s="86" t="s">
        <v>363</v>
      </c>
      <c r="F1199" s="76" t="s">
        <v>387</v>
      </c>
      <c r="G1199" s="164">
        <v>2000</v>
      </c>
      <c r="H1199" s="120"/>
      <c r="I1199" s="54">
        <v>0</v>
      </c>
      <c r="J1199" s="50">
        <v>0</v>
      </c>
      <c r="K1199" s="50">
        <f>+H1199+I1199+J1199</f>
        <v>0</v>
      </c>
      <c r="L1199" s="52">
        <f>+K1199*G1199</f>
        <v>0</v>
      </c>
    </row>
    <row r="1200" spans="3:12" s="53" customFormat="1" ht="40.9" customHeight="1">
      <c r="C1200" s="154" t="s">
        <v>80</v>
      </c>
      <c r="D1200" s="47" t="s">
        <v>329</v>
      </c>
      <c r="E1200" s="86" t="s">
        <v>363</v>
      </c>
      <c r="F1200" s="48" t="s">
        <v>378</v>
      </c>
      <c r="G1200" s="49">
        <v>4</v>
      </c>
      <c r="H1200" s="50">
        <v>0</v>
      </c>
      <c r="I1200" s="54">
        <v>0</v>
      </c>
      <c r="J1200" s="50">
        <v>0</v>
      </c>
      <c r="K1200" s="50">
        <f t="shared" si="108"/>
        <v>0</v>
      </c>
      <c r="L1200" s="52">
        <f t="shared" si="109"/>
        <v>0</v>
      </c>
    </row>
    <row r="1201" spans="3:12" s="53" customFormat="1" ht="40.9" customHeight="1">
      <c r="C1201" s="154" t="s">
        <v>266</v>
      </c>
      <c r="D1201" s="47" t="s">
        <v>364</v>
      </c>
      <c r="E1201" s="86" t="s">
        <v>363</v>
      </c>
      <c r="F1201" s="48" t="s">
        <v>378</v>
      </c>
      <c r="G1201" s="49">
        <v>20</v>
      </c>
      <c r="H1201" s="50">
        <v>0</v>
      </c>
      <c r="I1201" s="54">
        <v>0</v>
      </c>
      <c r="J1201" s="50">
        <v>0</v>
      </c>
      <c r="K1201" s="50">
        <f t="shared" si="108"/>
        <v>0</v>
      </c>
      <c r="L1201" s="52">
        <f t="shared" si="109"/>
        <v>0</v>
      </c>
    </row>
    <row r="1202" spans="3:12" s="78" customFormat="1" ht="40.9" customHeight="1">
      <c r="C1202" s="154" t="s">
        <v>267</v>
      </c>
      <c r="D1202" s="155" t="s">
        <v>710</v>
      </c>
      <c r="E1202" s="86" t="s">
        <v>363</v>
      </c>
      <c r="F1202" s="48" t="s">
        <v>378</v>
      </c>
      <c r="G1202" s="165">
        <v>1</v>
      </c>
      <c r="H1202" s="50">
        <v>0</v>
      </c>
      <c r="I1202" s="54">
        <v>0</v>
      </c>
      <c r="J1202" s="50">
        <v>0</v>
      </c>
      <c r="K1202" s="50">
        <f t="shared" si="108"/>
        <v>0</v>
      </c>
      <c r="L1202" s="52">
        <f t="shared" si="109"/>
        <v>0</v>
      </c>
    </row>
    <row r="1203" spans="3:12" s="78" customFormat="1" ht="40.9" customHeight="1">
      <c r="C1203" s="154" t="s">
        <v>268</v>
      </c>
      <c r="D1203" s="155" t="s">
        <v>711</v>
      </c>
      <c r="E1203" s="86" t="s">
        <v>363</v>
      </c>
      <c r="F1203" s="48" t="s">
        <v>378</v>
      </c>
      <c r="G1203" s="165">
        <v>1</v>
      </c>
      <c r="H1203" s="50">
        <v>0</v>
      </c>
      <c r="I1203" s="54">
        <v>0</v>
      </c>
      <c r="J1203" s="50">
        <v>0</v>
      </c>
      <c r="K1203" s="50">
        <f t="shared" si="108"/>
        <v>0</v>
      </c>
      <c r="L1203" s="52">
        <f t="shared" si="109"/>
        <v>0</v>
      </c>
    </row>
    <row r="1204" spans="3:12" s="78" customFormat="1" ht="40.9" customHeight="1">
      <c r="C1204" s="154" t="s">
        <v>269</v>
      </c>
      <c r="D1204" s="155" t="s">
        <v>712</v>
      </c>
      <c r="E1204" s="86" t="s">
        <v>363</v>
      </c>
      <c r="F1204" s="48" t="s">
        <v>378</v>
      </c>
      <c r="G1204" s="165">
        <v>1</v>
      </c>
      <c r="H1204" s="50">
        <v>0</v>
      </c>
      <c r="I1204" s="54">
        <v>0</v>
      </c>
      <c r="J1204" s="50">
        <v>0</v>
      </c>
      <c r="K1204" s="50">
        <f>+H1204+I1204+J1204</f>
        <v>0</v>
      </c>
      <c r="L1204" s="52">
        <f>+K1204*G1204</f>
        <v>0</v>
      </c>
    </row>
    <row r="1205" spans="3:12" s="78" customFormat="1" ht="40.9" customHeight="1">
      <c r="C1205" s="154" t="s">
        <v>270</v>
      </c>
      <c r="D1205" s="155" t="s">
        <v>713</v>
      </c>
      <c r="E1205" s="86" t="s">
        <v>363</v>
      </c>
      <c r="F1205" s="48" t="s">
        <v>378</v>
      </c>
      <c r="G1205" s="165">
        <v>1</v>
      </c>
      <c r="H1205" s="50">
        <v>0</v>
      </c>
      <c r="I1205" s="54">
        <v>0</v>
      </c>
      <c r="J1205" s="50">
        <v>0</v>
      </c>
      <c r="K1205" s="50">
        <f>+H1205+I1205+J1205</f>
        <v>0</v>
      </c>
      <c r="L1205" s="52">
        <f>+K1205*G1205</f>
        <v>0</v>
      </c>
    </row>
    <row r="1206" spans="3:12" s="78" customFormat="1" ht="40.9" customHeight="1">
      <c r="C1206" s="154" t="s">
        <v>271</v>
      </c>
      <c r="D1206" s="155" t="s">
        <v>714</v>
      </c>
      <c r="E1206" s="86" t="s">
        <v>363</v>
      </c>
      <c r="F1206" s="48" t="s">
        <v>378</v>
      </c>
      <c r="G1206" s="165">
        <v>30</v>
      </c>
      <c r="H1206" s="50">
        <v>0</v>
      </c>
      <c r="I1206" s="54">
        <v>0</v>
      </c>
      <c r="J1206" s="50">
        <v>0</v>
      </c>
      <c r="K1206" s="50">
        <f>+H1206+I1206+J1206</f>
        <v>0</v>
      </c>
      <c r="L1206" s="52">
        <f>+K1206*G1206</f>
        <v>0</v>
      </c>
    </row>
    <row r="1207" spans="3:12" s="78" customFormat="1" ht="40.9" customHeight="1">
      <c r="C1207" s="154" t="s">
        <v>272</v>
      </c>
      <c r="D1207" s="155" t="s">
        <v>715</v>
      </c>
      <c r="E1207" s="86" t="s">
        <v>363</v>
      </c>
      <c r="F1207" s="48" t="s">
        <v>387</v>
      </c>
      <c r="G1207" s="165">
        <v>110</v>
      </c>
      <c r="H1207" s="50">
        <v>0</v>
      </c>
      <c r="I1207" s="54">
        <v>0</v>
      </c>
      <c r="J1207" s="50">
        <v>0</v>
      </c>
      <c r="K1207" s="50">
        <f>+H1207+I1207+J1207</f>
        <v>0</v>
      </c>
      <c r="L1207" s="52">
        <f>+K1207*G1207</f>
        <v>0</v>
      </c>
    </row>
    <row r="1208" spans="3:12" s="78" customFormat="1" ht="40.9" customHeight="1">
      <c r="C1208" s="154" t="s">
        <v>399</v>
      </c>
      <c r="D1208" s="155" t="s">
        <v>716</v>
      </c>
      <c r="E1208" s="86" t="s">
        <v>363</v>
      </c>
      <c r="F1208" s="48" t="s">
        <v>387</v>
      </c>
      <c r="G1208" s="165">
        <v>3</v>
      </c>
      <c r="H1208" s="50">
        <v>0</v>
      </c>
      <c r="I1208" s="54">
        <v>0</v>
      </c>
      <c r="J1208" s="50">
        <v>0</v>
      </c>
      <c r="K1208" s="50">
        <f>+H1208+I1208+J1208</f>
        <v>0</v>
      </c>
      <c r="L1208" s="52">
        <f>+K1208*G1208</f>
        <v>0</v>
      </c>
    </row>
    <row r="1209" spans="3:12" s="78" customFormat="1" ht="40.9" customHeight="1">
      <c r="C1209" s="154" t="s">
        <v>721</v>
      </c>
      <c r="D1209" s="155" t="s">
        <v>968</v>
      </c>
      <c r="E1209" s="86" t="s">
        <v>363</v>
      </c>
      <c r="F1209" s="48" t="s">
        <v>378</v>
      </c>
      <c r="G1209" s="165">
        <v>1</v>
      </c>
      <c r="H1209" s="50">
        <v>0</v>
      </c>
      <c r="I1209" s="54">
        <v>0</v>
      </c>
      <c r="J1209" s="50">
        <v>0</v>
      </c>
      <c r="K1209" s="50">
        <f t="shared" si="108"/>
        <v>0</v>
      </c>
      <c r="L1209" s="52">
        <f t="shared" si="109"/>
        <v>0</v>
      </c>
    </row>
    <row r="1210" spans="3:12" s="78" customFormat="1" ht="40.9" customHeight="1">
      <c r="C1210" s="154" t="s">
        <v>722</v>
      </c>
      <c r="D1210" s="155" t="s">
        <v>720</v>
      </c>
      <c r="E1210" s="86" t="s">
        <v>363</v>
      </c>
      <c r="F1210" s="48" t="s">
        <v>378</v>
      </c>
      <c r="G1210" s="165">
        <v>3</v>
      </c>
      <c r="H1210" s="50">
        <v>0</v>
      </c>
      <c r="I1210" s="54">
        <v>0</v>
      </c>
      <c r="J1210" s="50">
        <v>0</v>
      </c>
      <c r="K1210" s="50">
        <f t="shared" si="108"/>
        <v>0</v>
      </c>
      <c r="L1210" s="52">
        <f t="shared" si="109"/>
        <v>0</v>
      </c>
    </row>
    <row r="1211" spans="3:12" s="78" customFormat="1" ht="40.9" customHeight="1">
      <c r="C1211" s="154" t="s">
        <v>723</v>
      </c>
      <c r="D1211" s="155" t="s">
        <v>717</v>
      </c>
      <c r="E1211" s="86" t="s">
        <v>363</v>
      </c>
      <c r="F1211" s="48" t="s">
        <v>378</v>
      </c>
      <c r="G1211" s="165">
        <v>15</v>
      </c>
      <c r="H1211" s="50">
        <v>0</v>
      </c>
      <c r="I1211" s="54">
        <v>0</v>
      </c>
      <c r="J1211" s="50">
        <v>0</v>
      </c>
      <c r="K1211" s="50">
        <f>+H1211+I1211+J1211</f>
        <v>0</v>
      </c>
      <c r="L1211" s="52">
        <f>+K1211*G1211</f>
        <v>0</v>
      </c>
    </row>
    <row r="1212" spans="3:12" s="78" customFormat="1" ht="40.9" customHeight="1">
      <c r="C1212" s="154" t="s">
        <v>724</v>
      </c>
      <c r="D1212" s="155" t="s">
        <v>718</v>
      </c>
      <c r="E1212" s="86" t="s">
        <v>363</v>
      </c>
      <c r="F1212" s="48" t="s">
        <v>26</v>
      </c>
      <c r="G1212" s="165">
        <v>1</v>
      </c>
      <c r="H1212" s="50">
        <v>0</v>
      </c>
      <c r="I1212" s="54">
        <v>0</v>
      </c>
      <c r="J1212" s="50">
        <v>0</v>
      </c>
      <c r="K1212" s="50">
        <f>+H1212+I1212+J1212</f>
        <v>0</v>
      </c>
      <c r="L1212" s="52">
        <f>+K1212*G1212</f>
        <v>0</v>
      </c>
    </row>
    <row r="1213" spans="3:12" s="90" customFormat="1" ht="40.9" customHeight="1">
      <c r="C1213" s="154" t="s">
        <v>725</v>
      </c>
      <c r="D1213" s="155" t="s">
        <v>719</v>
      </c>
      <c r="E1213" s="86" t="s">
        <v>363</v>
      </c>
      <c r="F1213" s="48" t="s">
        <v>378</v>
      </c>
      <c r="G1213" s="164">
        <v>30</v>
      </c>
      <c r="H1213" s="50">
        <v>0</v>
      </c>
      <c r="I1213" s="54">
        <v>0</v>
      </c>
      <c r="J1213" s="50">
        <v>0</v>
      </c>
      <c r="K1213" s="50">
        <f t="shared" si="108"/>
        <v>0</v>
      </c>
      <c r="L1213" s="52">
        <f t="shared" si="109"/>
        <v>0</v>
      </c>
    </row>
    <row r="1214" spans="3:12" s="90" customFormat="1" ht="40.9" customHeight="1">
      <c r="C1214" s="154" t="s">
        <v>726</v>
      </c>
      <c r="D1214" s="155" t="s">
        <v>400</v>
      </c>
      <c r="E1214" s="86" t="s">
        <v>363</v>
      </c>
      <c r="F1214" s="48" t="s">
        <v>378</v>
      </c>
      <c r="G1214" s="164">
        <v>4</v>
      </c>
      <c r="H1214" s="50">
        <v>0</v>
      </c>
      <c r="I1214" s="54">
        <v>0</v>
      </c>
      <c r="J1214" s="50">
        <v>0</v>
      </c>
      <c r="K1214" s="50">
        <f t="shared" si="108"/>
        <v>0</v>
      </c>
      <c r="L1214" s="52">
        <f t="shared" si="109"/>
        <v>0</v>
      </c>
    </row>
    <row r="1215" spans="3:12" s="90" customFormat="1" ht="40.9" customHeight="1">
      <c r="C1215" s="154" t="s">
        <v>727</v>
      </c>
      <c r="D1215" s="166" t="s">
        <v>842</v>
      </c>
      <c r="E1215" s="86" t="s">
        <v>363</v>
      </c>
      <c r="F1215" s="76" t="s">
        <v>387</v>
      </c>
      <c r="G1215" s="164">
        <v>600</v>
      </c>
      <c r="H1215" s="50">
        <v>0</v>
      </c>
      <c r="I1215" s="54">
        <v>0</v>
      </c>
      <c r="J1215" s="50">
        <v>0</v>
      </c>
      <c r="K1215" s="50">
        <f t="shared" si="108"/>
        <v>0</v>
      </c>
      <c r="L1215" s="52">
        <f t="shared" si="109"/>
        <v>0</v>
      </c>
    </row>
    <row r="1216" spans="3:12" s="90" customFormat="1">
      <c r="C1216" s="154"/>
      <c r="D1216" s="167"/>
      <c r="E1216" s="86"/>
      <c r="F1216" s="48"/>
      <c r="G1216" s="165"/>
      <c r="H1216" s="50"/>
      <c r="I1216" s="54"/>
      <c r="J1216" s="50"/>
      <c r="K1216" s="50"/>
      <c r="L1216" s="52"/>
    </row>
    <row r="1217" spans="3:103" ht="39.950000000000003" customHeight="1">
      <c r="C1217" s="121"/>
      <c r="D1217" s="63" t="s">
        <v>916</v>
      </c>
      <c r="E1217" s="64"/>
      <c r="F1217" s="65"/>
      <c r="G1217" s="66"/>
      <c r="H1217" s="67">
        <f>SUMPRODUCT(G1198:G1216,H1198:H1216)</f>
        <v>0</v>
      </c>
      <c r="I1217" s="67">
        <f>SUMPRODUCT(G1198:G1216,I1198:I1216)</f>
        <v>0</v>
      </c>
      <c r="J1217" s="67">
        <f>SUMPRODUCT(G1198:G1216,J1198:J1216)</f>
        <v>0</v>
      </c>
      <c r="K1217" s="68"/>
      <c r="L1217" s="69">
        <f>SUM(L1198:L1216)</f>
        <v>0</v>
      </c>
    </row>
    <row r="1218" spans="3:103">
      <c r="C1218" s="70"/>
      <c r="D1218" s="57"/>
      <c r="E1218" s="58"/>
      <c r="F1218" s="58"/>
      <c r="G1218" s="55"/>
      <c r="H1218" s="51"/>
      <c r="I1218" s="56"/>
      <c r="J1218" s="56"/>
      <c r="K1218" s="51"/>
      <c r="L1218" s="59"/>
    </row>
    <row r="1219" spans="3:103" ht="30" customHeight="1">
      <c r="C1219" s="25" t="s">
        <v>166</v>
      </c>
      <c r="D1219" s="26" t="s">
        <v>78</v>
      </c>
      <c r="E1219" s="27"/>
      <c r="F1219" s="28"/>
      <c r="G1219" s="29"/>
      <c r="H1219" s="30"/>
      <c r="I1219" s="31"/>
      <c r="J1219" s="31"/>
      <c r="K1219" s="32"/>
      <c r="L1219" s="33"/>
    </row>
    <row r="1220" spans="3:103" s="35" customFormat="1">
      <c r="C1220" s="25"/>
      <c r="D1220" s="26" t="s">
        <v>690</v>
      </c>
      <c r="E1220" s="27"/>
      <c r="F1220" s="28"/>
      <c r="G1220" s="29"/>
      <c r="H1220" s="30"/>
      <c r="I1220" s="31"/>
      <c r="J1220" s="31"/>
      <c r="K1220" s="32"/>
      <c r="L1220" s="33"/>
    </row>
    <row r="1221" spans="3:103" s="35" customFormat="1">
      <c r="C1221" s="25"/>
      <c r="D1221" s="26"/>
      <c r="E1221" s="27"/>
      <c r="F1221" s="28"/>
      <c r="G1221" s="29"/>
      <c r="H1221" s="30"/>
      <c r="I1221" s="31"/>
      <c r="J1221" s="31"/>
      <c r="K1221" s="32"/>
      <c r="L1221" s="33"/>
    </row>
    <row r="1222" spans="3:103" s="53" customFormat="1" ht="46.15" customHeight="1">
      <c r="C1222" s="154" t="s">
        <v>167</v>
      </c>
      <c r="D1222" s="47" t="s">
        <v>467</v>
      </c>
      <c r="E1222" s="48" t="s">
        <v>365</v>
      </c>
      <c r="F1222" s="48" t="s">
        <v>378</v>
      </c>
      <c r="G1222" s="49">
        <v>1</v>
      </c>
      <c r="H1222" s="50">
        <v>0</v>
      </c>
      <c r="I1222" s="54">
        <v>0</v>
      </c>
      <c r="J1222" s="50">
        <v>0</v>
      </c>
      <c r="K1222" s="50">
        <f>+H1222+I1222+J1222</f>
        <v>0</v>
      </c>
      <c r="L1222" s="52">
        <f>+K1222*G1222</f>
        <v>0</v>
      </c>
    </row>
    <row r="1223" spans="3:103" s="53" customFormat="1" ht="46.15" customHeight="1">
      <c r="C1223" s="154" t="s">
        <v>168</v>
      </c>
      <c r="D1223" s="47" t="s">
        <v>960</v>
      </c>
      <c r="E1223" s="48" t="s">
        <v>365</v>
      </c>
      <c r="F1223" s="48" t="s">
        <v>26</v>
      </c>
      <c r="G1223" s="49">
        <v>1</v>
      </c>
      <c r="H1223" s="50">
        <v>0</v>
      </c>
      <c r="I1223" s="56">
        <v>0</v>
      </c>
      <c r="J1223" s="50">
        <v>0</v>
      </c>
      <c r="K1223" s="50">
        <f>+H1223+I1223+J1223</f>
        <v>0</v>
      </c>
      <c r="L1223" s="52">
        <f>+K1223*G1223</f>
        <v>0</v>
      </c>
    </row>
    <row r="1224" spans="3:103" s="53" customFormat="1" ht="46.15" customHeight="1">
      <c r="C1224" s="154"/>
      <c r="D1224" s="47"/>
      <c r="E1224" s="48"/>
      <c r="F1224" s="48"/>
      <c r="G1224" s="49"/>
      <c r="H1224" s="50"/>
      <c r="I1224" s="56"/>
      <c r="J1224" s="50"/>
      <c r="K1224" s="50"/>
      <c r="L1224" s="52"/>
    </row>
    <row r="1225" spans="3:103" ht="39.950000000000003" customHeight="1">
      <c r="C1225" s="121"/>
      <c r="D1225" s="63" t="s">
        <v>729</v>
      </c>
      <c r="E1225" s="64"/>
      <c r="F1225" s="65"/>
      <c r="G1225" s="66"/>
      <c r="H1225" s="67">
        <f>SUMPRODUCT(G1222:G1223,H1222:H1223)</f>
        <v>0</v>
      </c>
      <c r="I1225" s="67">
        <f>SUMPRODUCT(G1222:G1223,I1222:I1223)</f>
        <v>0</v>
      </c>
      <c r="J1225" s="67">
        <f>SUMPRODUCT(G1222:G1223,J1222:J1223)</f>
        <v>0</v>
      </c>
      <c r="K1225" s="68"/>
      <c r="L1225" s="69">
        <f>SUM(L1222:L1223)</f>
        <v>0</v>
      </c>
    </row>
    <row r="1226" spans="3:103">
      <c r="C1226" s="122"/>
      <c r="D1226" s="95"/>
      <c r="E1226" s="96"/>
      <c r="F1226" s="97"/>
      <c r="G1226" s="98"/>
      <c r="H1226" s="99"/>
      <c r="I1226" s="102"/>
      <c r="J1226" s="102"/>
      <c r="K1226" s="100"/>
      <c r="L1226" s="101"/>
    </row>
    <row r="1227" spans="3:103" s="34" customFormat="1" ht="51.6" customHeight="1">
      <c r="C1227" s="25" t="s">
        <v>81</v>
      </c>
      <c r="D1227" s="26" t="s">
        <v>82</v>
      </c>
      <c r="E1227" s="27"/>
      <c r="F1227" s="28"/>
      <c r="G1227" s="29"/>
      <c r="H1227" s="30"/>
      <c r="I1227" s="31"/>
      <c r="J1227" s="31"/>
      <c r="K1227" s="32"/>
      <c r="L1227" s="33"/>
      <c r="M1227" s="19"/>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19"/>
      <c r="AR1227" s="19"/>
      <c r="AS1227" s="19"/>
      <c r="AT1227" s="19"/>
      <c r="AU1227" s="19"/>
      <c r="AV1227" s="19"/>
      <c r="AW1227" s="19"/>
      <c r="AX1227" s="19"/>
      <c r="AY1227" s="19"/>
      <c r="AZ1227" s="19"/>
      <c r="BA1227" s="19"/>
      <c r="BB1227" s="19"/>
      <c r="BC1227" s="19"/>
      <c r="BD1227" s="19"/>
      <c r="BE1227" s="19"/>
      <c r="BF1227" s="19"/>
      <c r="BG1227" s="19"/>
      <c r="BH1227" s="19"/>
      <c r="BI1227" s="19"/>
      <c r="BJ1227" s="19"/>
      <c r="BK1227" s="19"/>
      <c r="BL1227" s="19"/>
      <c r="BM1227" s="19"/>
      <c r="BN1227" s="19"/>
      <c r="BO1227" s="19"/>
      <c r="BP1227" s="19"/>
      <c r="BQ1227" s="19"/>
      <c r="BR1227" s="19"/>
      <c r="BS1227" s="19"/>
      <c r="BT1227" s="19"/>
      <c r="BU1227" s="19"/>
      <c r="BV1227" s="19"/>
      <c r="BW1227" s="19"/>
      <c r="BX1227" s="19"/>
      <c r="BY1227" s="19"/>
      <c r="BZ1227" s="19"/>
      <c r="CA1227" s="19"/>
      <c r="CB1227" s="19"/>
      <c r="CC1227" s="19"/>
      <c r="CD1227" s="19"/>
      <c r="CE1227" s="19"/>
      <c r="CF1227" s="19"/>
      <c r="CG1227" s="19"/>
      <c r="CH1227" s="19"/>
      <c r="CI1227" s="19"/>
      <c r="CJ1227" s="19"/>
      <c r="CK1227" s="19"/>
      <c r="CL1227" s="19"/>
      <c r="CM1227" s="19"/>
      <c r="CN1227" s="19"/>
      <c r="CO1227" s="19"/>
      <c r="CP1227" s="19"/>
      <c r="CQ1227" s="19"/>
      <c r="CR1227" s="19"/>
      <c r="CS1227" s="19"/>
      <c r="CT1227" s="19"/>
      <c r="CU1227" s="19"/>
      <c r="CV1227" s="19"/>
      <c r="CW1227" s="19"/>
      <c r="CX1227" s="19"/>
      <c r="CY1227" s="19"/>
    </row>
    <row r="1228" spans="3:103" s="34" customFormat="1" ht="55.15" customHeight="1">
      <c r="C1228" s="25" t="s">
        <v>13</v>
      </c>
      <c r="D1228" s="26" t="s">
        <v>958</v>
      </c>
      <c r="E1228" s="27"/>
      <c r="F1228" s="28"/>
      <c r="G1228" s="29"/>
      <c r="H1228" s="30"/>
      <c r="I1228" s="31"/>
      <c r="J1228" s="31"/>
      <c r="K1228" s="32"/>
      <c r="L1228" s="33"/>
      <c r="M1228" s="19"/>
      <c r="N1228" s="19"/>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c r="AQ1228" s="19"/>
      <c r="AR1228" s="19"/>
      <c r="AS1228" s="19"/>
      <c r="AT1228" s="19"/>
      <c r="AU1228" s="19"/>
      <c r="AV1228" s="19"/>
      <c r="AW1228" s="19"/>
      <c r="AX1228" s="19"/>
      <c r="AY1228" s="19"/>
      <c r="AZ1228" s="19"/>
      <c r="BA1228" s="19"/>
      <c r="BB1228" s="19"/>
      <c r="BC1228" s="19"/>
      <c r="BD1228" s="19"/>
      <c r="BE1228" s="19"/>
      <c r="BF1228" s="19"/>
      <c r="BG1228" s="19"/>
      <c r="BH1228" s="19"/>
      <c r="BI1228" s="19"/>
      <c r="BJ1228" s="19"/>
      <c r="BK1228" s="19"/>
      <c r="BL1228" s="19"/>
      <c r="BM1228" s="19"/>
      <c r="BN1228" s="19"/>
      <c r="BO1228" s="19"/>
      <c r="BP1228" s="19"/>
      <c r="BQ1228" s="19"/>
      <c r="BR1228" s="19"/>
      <c r="BS1228" s="19"/>
      <c r="BT1228" s="19"/>
      <c r="BU1228" s="19"/>
      <c r="BV1228" s="19"/>
      <c r="BW1228" s="19"/>
      <c r="BX1228" s="19"/>
      <c r="BY1228" s="19"/>
      <c r="BZ1228" s="19"/>
      <c r="CA1228" s="19"/>
      <c r="CB1228" s="19"/>
      <c r="CC1228" s="19"/>
      <c r="CD1228" s="19"/>
      <c r="CE1228" s="19"/>
      <c r="CF1228" s="19"/>
      <c r="CG1228" s="19"/>
      <c r="CH1228" s="19"/>
      <c r="CI1228" s="19"/>
      <c r="CJ1228" s="19"/>
      <c r="CK1228" s="19"/>
      <c r="CL1228" s="19"/>
      <c r="CM1228" s="19"/>
      <c r="CN1228" s="19"/>
      <c r="CO1228" s="19"/>
      <c r="CP1228" s="19"/>
      <c r="CQ1228" s="19"/>
      <c r="CR1228" s="19"/>
      <c r="CS1228" s="19"/>
      <c r="CT1228" s="19"/>
      <c r="CU1228" s="19"/>
      <c r="CV1228" s="19"/>
      <c r="CW1228" s="19"/>
      <c r="CX1228" s="19"/>
      <c r="CY1228" s="19"/>
    </row>
    <row r="1229" spans="3:103" s="34" customFormat="1" ht="38.450000000000003" customHeight="1">
      <c r="C1229" s="154"/>
      <c r="D1229" s="151" t="s">
        <v>85</v>
      </c>
      <c r="E1229" s="71"/>
      <c r="F1229" s="41"/>
      <c r="G1229" s="42"/>
      <c r="H1229" s="72"/>
      <c r="I1229" s="44"/>
      <c r="J1229" s="44"/>
      <c r="K1229" s="43"/>
      <c r="L1229" s="45"/>
    </row>
    <row r="1230" spans="3:103" s="53" customFormat="1" ht="38.450000000000003" customHeight="1">
      <c r="C1230" s="154" t="s">
        <v>83</v>
      </c>
      <c r="D1230" s="47" t="s">
        <v>897</v>
      </c>
      <c r="E1230" s="48" t="s">
        <v>899</v>
      </c>
      <c r="F1230" s="48" t="s">
        <v>378</v>
      </c>
      <c r="G1230" s="49">
        <v>23</v>
      </c>
      <c r="H1230" s="51">
        <v>0</v>
      </c>
      <c r="I1230" s="56">
        <v>0</v>
      </c>
      <c r="J1230" s="51">
        <v>0</v>
      </c>
      <c r="K1230" s="50">
        <f t="shared" ref="K1230:K1241" si="110">+H1230+I1230+J1230</f>
        <v>0</v>
      </c>
      <c r="L1230" s="52">
        <f t="shared" ref="L1230:L1241" si="111">+K1230*G1230</f>
        <v>0</v>
      </c>
    </row>
    <row r="1231" spans="3:103" s="53" customFormat="1" ht="38.450000000000003" customHeight="1">
      <c r="C1231" s="154" t="s">
        <v>84</v>
      </c>
      <c r="D1231" s="47" t="s">
        <v>898</v>
      </c>
      <c r="E1231" s="48" t="s">
        <v>899</v>
      </c>
      <c r="F1231" s="48" t="s">
        <v>378</v>
      </c>
      <c r="G1231" s="49">
        <v>13</v>
      </c>
      <c r="H1231" s="51">
        <v>0</v>
      </c>
      <c r="I1231" s="56">
        <v>0</v>
      </c>
      <c r="J1231" s="51">
        <v>0</v>
      </c>
      <c r="K1231" s="50">
        <f t="shared" si="110"/>
        <v>0</v>
      </c>
      <c r="L1231" s="52">
        <f t="shared" si="111"/>
        <v>0</v>
      </c>
    </row>
    <row r="1232" spans="3:103" s="53" customFormat="1" ht="38.450000000000003" customHeight="1">
      <c r="C1232" s="154" t="s">
        <v>86</v>
      </c>
      <c r="D1232" s="47" t="s">
        <v>388</v>
      </c>
      <c r="E1232" s="48" t="s">
        <v>366</v>
      </c>
      <c r="F1232" s="48" t="s">
        <v>378</v>
      </c>
      <c r="G1232" s="49">
        <v>13</v>
      </c>
      <c r="H1232" s="51">
        <v>0</v>
      </c>
      <c r="I1232" s="56">
        <v>0</v>
      </c>
      <c r="J1232" s="51">
        <v>0</v>
      </c>
      <c r="K1232" s="50">
        <f t="shared" si="110"/>
        <v>0</v>
      </c>
      <c r="L1232" s="52">
        <f t="shared" si="111"/>
        <v>0</v>
      </c>
    </row>
    <row r="1233" spans="3:12" s="53" customFormat="1" ht="38.450000000000003" customHeight="1">
      <c r="C1233" s="154" t="s">
        <v>87</v>
      </c>
      <c r="D1233" s="47" t="s">
        <v>671</v>
      </c>
      <c r="E1233" s="48" t="s">
        <v>366</v>
      </c>
      <c r="F1233" s="48" t="s">
        <v>378</v>
      </c>
      <c r="G1233" s="49">
        <v>1</v>
      </c>
      <c r="H1233" s="51">
        <v>0</v>
      </c>
      <c r="I1233" s="56">
        <v>0</v>
      </c>
      <c r="J1233" s="51">
        <v>0</v>
      </c>
      <c r="K1233" s="50">
        <f t="shared" si="110"/>
        <v>0</v>
      </c>
      <c r="L1233" s="52">
        <f t="shared" si="111"/>
        <v>0</v>
      </c>
    </row>
    <row r="1234" spans="3:12" s="53" customFormat="1" ht="38.450000000000003" customHeight="1">
      <c r="C1234" s="154" t="s">
        <v>88</v>
      </c>
      <c r="D1234" s="47" t="s">
        <v>286</v>
      </c>
      <c r="E1234" s="48" t="s">
        <v>165</v>
      </c>
      <c r="F1234" s="48" t="s">
        <v>378</v>
      </c>
      <c r="G1234" s="49">
        <v>20</v>
      </c>
      <c r="H1234" s="51">
        <v>0</v>
      </c>
      <c r="I1234" s="56">
        <v>0</v>
      </c>
      <c r="J1234" s="51">
        <v>0</v>
      </c>
      <c r="K1234" s="50">
        <f t="shared" si="110"/>
        <v>0</v>
      </c>
      <c r="L1234" s="52">
        <f t="shared" si="111"/>
        <v>0</v>
      </c>
    </row>
    <row r="1235" spans="3:12" s="53" customFormat="1" ht="38.450000000000003" customHeight="1">
      <c r="C1235" s="154" t="s">
        <v>90</v>
      </c>
      <c r="D1235" s="47" t="s">
        <v>402</v>
      </c>
      <c r="E1235" s="48" t="s">
        <v>165</v>
      </c>
      <c r="F1235" s="48" t="s">
        <v>378</v>
      </c>
      <c r="G1235" s="49">
        <v>10</v>
      </c>
      <c r="H1235" s="51">
        <v>0</v>
      </c>
      <c r="I1235" s="56">
        <v>0</v>
      </c>
      <c r="J1235" s="51">
        <v>0</v>
      </c>
      <c r="K1235" s="50">
        <f t="shared" si="110"/>
        <v>0</v>
      </c>
      <c r="L1235" s="52">
        <f t="shared" si="111"/>
        <v>0</v>
      </c>
    </row>
    <row r="1236" spans="3:12" s="53" customFormat="1" ht="38.450000000000003" customHeight="1">
      <c r="C1236" s="154" t="s">
        <v>91</v>
      </c>
      <c r="D1236" s="47" t="s">
        <v>287</v>
      </c>
      <c r="E1236" s="48" t="s">
        <v>165</v>
      </c>
      <c r="F1236" s="48" t="s">
        <v>378</v>
      </c>
      <c r="G1236" s="49">
        <v>192</v>
      </c>
      <c r="H1236" s="51">
        <v>0</v>
      </c>
      <c r="I1236" s="56">
        <v>0</v>
      </c>
      <c r="J1236" s="51">
        <v>0</v>
      </c>
      <c r="K1236" s="50">
        <f t="shared" si="110"/>
        <v>0</v>
      </c>
      <c r="L1236" s="52">
        <f t="shared" si="111"/>
        <v>0</v>
      </c>
    </row>
    <row r="1237" spans="3:12" s="53" customFormat="1" ht="38.450000000000003" customHeight="1">
      <c r="C1237" s="154" t="s">
        <v>92</v>
      </c>
      <c r="D1237" s="47" t="s">
        <v>288</v>
      </c>
      <c r="E1237" s="48" t="s">
        <v>165</v>
      </c>
      <c r="F1237" s="48" t="s">
        <v>378</v>
      </c>
      <c r="G1237" s="49">
        <v>192</v>
      </c>
      <c r="H1237" s="51">
        <v>0</v>
      </c>
      <c r="I1237" s="56">
        <v>0</v>
      </c>
      <c r="J1237" s="51">
        <v>0</v>
      </c>
      <c r="K1237" s="50">
        <f t="shared" si="110"/>
        <v>0</v>
      </c>
      <c r="L1237" s="52">
        <f t="shared" si="111"/>
        <v>0</v>
      </c>
    </row>
    <row r="1238" spans="3:12" s="53" customFormat="1" ht="38.450000000000003" customHeight="1">
      <c r="C1238" s="154" t="s">
        <v>93</v>
      </c>
      <c r="D1238" s="47" t="s">
        <v>668</v>
      </c>
      <c r="E1238" s="48" t="s">
        <v>165</v>
      </c>
      <c r="F1238" s="48" t="s">
        <v>378</v>
      </c>
      <c r="G1238" s="49">
        <v>14</v>
      </c>
      <c r="H1238" s="51">
        <v>0</v>
      </c>
      <c r="I1238" s="56">
        <v>0</v>
      </c>
      <c r="J1238" s="51">
        <v>0</v>
      </c>
      <c r="K1238" s="50">
        <f t="shared" si="110"/>
        <v>0</v>
      </c>
      <c r="L1238" s="52">
        <f t="shared" si="111"/>
        <v>0</v>
      </c>
    </row>
    <row r="1239" spans="3:12" s="53" customFormat="1" ht="38.450000000000003" customHeight="1">
      <c r="C1239" s="154" t="s">
        <v>94</v>
      </c>
      <c r="D1239" s="47" t="s">
        <v>289</v>
      </c>
      <c r="E1239" s="48" t="s">
        <v>165</v>
      </c>
      <c r="F1239" s="48" t="s">
        <v>378</v>
      </c>
      <c r="G1239" s="49">
        <v>14</v>
      </c>
      <c r="H1239" s="51">
        <v>0</v>
      </c>
      <c r="I1239" s="56">
        <v>0</v>
      </c>
      <c r="J1239" s="51">
        <v>0</v>
      </c>
      <c r="K1239" s="50">
        <f t="shared" si="110"/>
        <v>0</v>
      </c>
      <c r="L1239" s="52">
        <f t="shared" si="111"/>
        <v>0</v>
      </c>
    </row>
    <row r="1240" spans="3:12" s="53" customFormat="1" ht="38.450000000000003" customHeight="1">
      <c r="C1240" s="154" t="s">
        <v>95</v>
      </c>
      <c r="D1240" s="47" t="s">
        <v>290</v>
      </c>
      <c r="E1240" s="48" t="s">
        <v>165</v>
      </c>
      <c r="F1240" s="48" t="s">
        <v>378</v>
      </c>
      <c r="G1240" s="49">
        <v>80</v>
      </c>
      <c r="H1240" s="51">
        <v>0</v>
      </c>
      <c r="I1240" s="56">
        <v>0</v>
      </c>
      <c r="J1240" s="51">
        <v>0</v>
      </c>
      <c r="K1240" s="50">
        <f t="shared" si="110"/>
        <v>0</v>
      </c>
      <c r="L1240" s="52">
        <f t="shared" si="111"/>
        <v>0</v>
      </c>
    </row>
    <row r="1241" spans="3:12" s="53" customFormat="1" ht="38.450000000000003" customHeight="1">
      <c r="C1241" s="154" t="s">
        <v>96</v>
      </c>
      <c r="D1241" s="47" t="s">
        <v>669</v>
      </c>
      <c r="E1241" s="48" t="s">
        <v>165</v>
      </c>
      <c r="F1241" s="48" t="s">
        <v>378</v>
      </c>
      <c r="G1241" s="49">
        <v>40</v>
      </c>
      <c r="H1241" s="51">
        <v>0</v>
      </c>
      <c r="I1241" s="56">
        <v>0</v>
      </c>
      <c r="J1241" s="51">
        <v>0</v>
      </c>
      <c r="K1241" s="50">
        <f t="shared" si="110"/>
        <v>0</v>
      </c>
      <c r="L1241" s="52">
        <f t="shared" si="111"/>
        <v>0</v>
      </c>
    </row>
    <row r="1242" spans="3:12" s="53" customFormat="1" ht="38.450000000000003" customHeight="1">
      <c r="C1242" s="154" t="s">
        <v>98</v>
      </c>
      <c r="D1242" s="47" t="s">
        <v>670</v>
      </c>
      <c r="E1242" s="48" t="s">
        <v>165</v>
      </c>
      <c r="F1242" s="48" t="s">
        <v>378</v>
      </c>
      <c r="G1242" s="49">
        <v>80</v>
      </c>
      <c r="H1242" s="51">
        <v>0</v>
      </c>
      <c r="I1242" s="56">
        <v>0</v>
      </c>
      <c r="J1242" s="51">
        <v>0</v>
      </c>
      <c r="K1242" s="50">
        <f t="shared" ref="K1242:K1249" si="112">+H1242+I1242+J1242</f>
        <v>0</v>
      </c>
      <c r="L1242" s="52">
        <f t="shared" ref="L1242:L1249" si="113">+K1242*G1242</f>
        <v>0</v>
      </c>
    </row>
    <row r="1243" spans="3:12" s="53" customFormat="1" ht="38.450000000000003" customHeight="1">
      <c r="C1243" s="154" t="s">
        <v>99</v>
      </c>
      <c r="D1243" s="47" t="s">
        <v>291</v>
      </c>
      <c r="E1243" s="48" t="s">
        <v>165</v>
      </c>
      <c r="F1243" s="48" t="s">
        <v>378</v>
      </c>
      <c r="G1243" s="49">
        <v>96</v>
      </c>
      <c r="H1243" s="51">
        <v>0</v>
      </c>
      <c r="I1243" s="56">
        <v>0</v>
      </c>
      <c r="J1243" s="51">
        <v>0</v>
      </c>
      <c r="K1243" s="50">
        <f t="shared" si="112"/>
        <v>0</v>
      </c>
      <c r="L1243" s="52">
        <f t="shared" si="113"/>
        <v>0</v>
      </c>
    </row>
    <row r="1244" spans="3:12" s="53" customFormat="1" ht="38.450000000000003" customHeight="1">
      <c r="C1244" s="154" t="s">
        <v>100</v>
      </c>
      <c r="D1244" s="47" t="s">
        <v>403</v>
      </c>
      <c r="E1244" s="48" t="s">
        <v>165</v>
      </c>
      <c r="F1244" s="48" t="s">
        <v>378</v>
      </c>
      <c r="G1244" s="49">
        <v>96</v>
      </c>
      <c r="H1244" s="51">
        <v>0</v>
      </c>
      <c r="I1244" s="56">
        <v>0</v>
      </c>
      <c r="J1244" s="51">
        <v>0</v>
      </c>
      <c r="K1244" s="50">
        <f t="shared" si="112"/>
        <v>0</v>
      </c>
      <c r="L1244" s="52">
        <f t="shared" si="113"/>
        <v>0</v>
      </c>
    </row>
    <row r="1245" spans="3:12" s="53" customFormat="1" ht="38.450000000000003" customHeight="1">
      <c r="C1245" s="154" t="s">
        <v>102</v>
      </c>
      <c r="D1245" s="47" t="s">
        <v>395</v>
      </c>
      <c r="E1245" s="48" t="s">
        <v>366</v>
      </c>
      <c r="F1245" s="48" t="s">
        <v>378</v>
      </c>
      <c r="G1245" s="49">
        <v>2</v>
      </c>
      <c r="H1245" s="51">
        <v>0</v>
      </c>
      <c r="I1245" s="56">
        <v>0</v>
      </c>
      <c r="J1245" s="51">
        <v>0</v>
      </c>
      <c r="K1245" s="50">
        <f t="shared" si="112"/>
        <v>0</v>
      </c>
      <c r="L1245" s="52">
        <f t="shared" si="113"/>
        <v>0</v>
      </c>
    </row>
    <row r="1246" spans="3:12" s="53" customFormat="1" ht="38.450000000000003" customHeight="1">
      <c r="C1246" s="154" t="s">
        <v>104</v>
      </c>
      <c r="D1246" s="47" t="s">
        <v>970</v>
      </c>
      <c r="E1246" s="48" t="s">
        <v>401</v>
      </c>
      <c r="F1246" s="48" t="s">
        <v>378</v>
      </c>
      <c r="G1246" s="49">
        <v>1</v>
      </c>
      <c r="H1246" s="51">
        <v>0</v>
      </c>
      <c r="I1246" s="56">
        <v>0</v>
      </c>
      <c r="J1246" s="51">
        <v>0</v>
      </c>
      <c r="K1246" s="50">
        <f t="shared" si="112"/>
        <v>0</v>
      </c>
      <c r="L1246" s="52">
        <f t="shared" si="113"/>
        <v>0</v>
      </c>
    </row>
    <row r="1247" spans="3:12" s="53" customFormat="1" ht="38.450000000000003" customHeight="1">
      <c r="C1247" s="154" t="s">
        <v>104</v>
      </c>
      <c r="D1247" s="47" t="s">
        <v>969</v>
      </c>
      <c r="E1247" s="48" t="s">
        <v>401</v>
      </c>
      <c r="F1247" s="48" t="s">
        <v>378</v>
      </c>
      <c r="G1247" s="49">
        <v>1</v>
      </c>
      <c r="H1247" s="51">
        <v>0</v>
      </c>
      <c r="I1247" s="56">
        <v>0</v>
      </c>
      <c r="J1247" s="51">
        <v>0</v>
      </c>
      <c r="K1247" s="50">
        <f t="shared" si="112"/>
        <v>0</v>
      </c>
      <c r="L1247" s="52">
        <f t="shared" si="113"/>
        <v>0</v>
      </c>
    </row>
    <row r="1248" spans="3:12" s="53" customFormat="1" ht="38.450000000000003" customHeight="1">
      <c r="C1248" s="154" t="s">
        <v>105</v>
      </c>
      <c r="D1248" s="47" t="s">
        <v>672</v>
      </c>
      <c r="E1248" s="48" t="s">
        <v>848</v>
      </c>
      <c r="F1248" s="48" t="s">
        <v>378</v>
      </c>
      <c r="G1248" s="49">
        <v>80</v>
      </c>
      <c r="H1248" s="51">
        <v>0</v>
      </c>
      <c r="I1248" s="56">
        <v>0</v>
      </c>
      <c r="J1248" s="51">
        <v>0</v>
      </c>
      <c r="K1248" s="50">
        <f t="shared" si="112"/>
        <v>0</v>
      </c>
      <c r="L1248" s="52">
        <f t="shared" si="113"/>
        <v>0</v>
      </c>
    </row>
    <row r="1249" spans="3:12" s="53" customFormat="1" ht="38.450000000000003" customHeight="1">
      <c r="C1249" s="154" t="s">
        <v>107</v>
      </c>
      <c r="D1249" s="47" t="s">
        <v>673</v>
      </c>
      <c r="E1249" s="48" t="s">
        <v>848</v>
      </c>
      <c r="F1249" s="48" t="s">
        <v>378</v>
      </c>
      <c r="G1249" s="49">
        <v>85</v>
      </c>
      <c r="H1249" s="51">
        <v>0</v>
      </c>
      <c r="I1249" s="56">
        <v>0</v>
      </c>
      <c r="J1249" s="51">
        <v>0</v>
      </c>
      <c r="K1249" s="50">
        <f t="shared" si="112"/>
        <v>0</v>
      </c>
      <c r="L1249" s="52">
        <f t="shared" si="113"/>
        <v>0</v>
      </c>
    </row>
    <row r="1250" spans="3:12" s="53" customFormat="1" ht="38.450000000000003" customHeight="1">
      <c r="C1250" s="154"/>
      <c r="D1250" s="47"/>
      <c r="E1250" s="48"/>
      <c r="F1250" s="48"/>
      <c r="G1250" s="49"/>
      <c r="H1250" s="99"/>
      <c r="I1250" s="56"/>
      <c r="J1250" s="51"/>
      <c r="K1250" s="50"/>
      <c r="L1250" s="52"/>
    </row>
    <row r="1251" spans="3:12" s="53" customFormat="1" ht="38.450000000000003" customHeight="1">
      <c r="C1251" s="154"/>
      <c r="D1251" s="151" t="s">
        <v>89</v>
      </c>
      <c r="E1251" s="79"/>
      <c r="F1251" s="48"/>
      <c r="G1251" s="49"/>
      <c r="H1251" s="99"/>
      <c r="I1251" s="56"/>
      <c r="J1251" s="51"/>
      <c r="K1251" s="50"/>
      <c r="L1251" s="52"/>
    </row>
    <row r="1252" spans="3:12" s="53" customFormat="1" ht="38.450000000000003" customHeight="1">
      <c r="C1252" s="154" t="s">
        <v>153</v>
      </c>
      <c r="D1252" s="47" t="s">
        <v>959</v>
      </c>
      <c r="E1252" s="48" t="s">
        <v>396</v>
      </c>
      <c r="F1252" s="76" t="s">
        <v>387</v>
      </c>
      <c r="G1252" s="49">
        <v>1500</v>
      </c>
      <c r="H1252" s="51">
        <v>0</v>
      </c>
      <c r="I1252" s="56">
        <v>0</v>
      </c>
      <c r="J1252" s="51">
        <v>0</v>
      </c>
      <c r="K1252" s="50">
        <f>+H1252+I1252+J1252</f>
        <v>0</v>
      </c>
      <c r="L1252" s="52">
        <f>+K1252*G1252</f>
        <v>0</v>
      </c>
    </row>
    <row r="1253" spans="3:12" s="53" customFormat="1" ht="38.450000000000003" customHeight="1">
      <c r="C1253" s="154" t="s">
        <v>154</v>
      </c>
      <c r="D1253" s="47" t="s">
        <v>331</v>
      </c>
      <c r="E1253" s="48" t="s">
        <v>429</v>
      </c>
      <c r="F1253" s="76" t="s">
        <v>387</v>
      </c>
      <c r="G1253" s="49">
        <v>100</v>
      </c>
      <c r="H1253" s="51">
        <v>0</v>
      </c>
      <c r="I1253" s="56">
        <v>0</v>
      </c>
      <c r="J1253" s="51">
        <v>0</v>
      </c>
      <c r="K1253" s="50">
        <f>+H1253+I1253+J1253</f>
        <v>0</v>
      </c>
      <c r="L1253" s="52">
        <f>+K1253*G1253</f>
        <v>0</v>
      </c>
    </row>
    <row r="1254" spans="3:12" s="53" customFormat="1" ht="38.450000000000003" customHeight="1">
      <c r="C1254" s="154" t="s">
        <v>155</v>
      </c>
      <c r="D1254" s="47" t="s">
        <v>332</v>
      </c>
      <c r="E1254" s="48" t="s">
        <v>429</v>
      </c>
      <c r="F1254" s="76" t="s">
        <v>387</v>
      </c>
      <c r="G1254" s="49">
        <v>2010</v>
      </c>
      <c r="H1254" s="51">
        <v>0</v>
      </c>
      <c r="I1254" s="56">
        <v>0</v>
      </c>
      <c r="J1254" s="51">
        <v>0</v>
      </c>
      <c r="K1254" s="50">
        <f>+H1254+I1254+J1254</f>
        <v>0</v>
      </c>
      <c r="L1254" s="52">
        <f>+K1254*G1254</f>
        <v>0</v>
      </c>
    </row>
    <row r="1255" spans="3:12" s="53" customFormat="1" ht="38.450000000000003" customHeight="1">
      <c r="C1255" s="154"/>
      <c r="D1255" s="47"/>
      <c r="E1255" s="48"/>
      <c r="F1255" s="76"/>
      <c r="G1255" s="49"/>
      <c r="H1255" s="51"/>
      <c r="I1255" s="56"/>
      <c r="J1255" s="51"/>
      <c r="K1255" s="50"/>
      <c r="L1255" s="52"/>
    </row>
    <row r="1256" spans="3:12" s="53" customFormat="1" ht="38.450000000000003" customHeight="1">
      <c r="C1256" s="154"/>
      <c r="D1256" s="151" t="s">
        <v>97</v>
      </c>
      <c r="E1256" s="79"/>
      <c r="F1256" s="48"/>
      <c r="G1256" s="49"/>
      <c r="H1256" s="99"/>
      <c r="I1256" s="56"/>
      <c r="J1256" s="51"/>
      <c r="K1256" s="50"/>
      <c r="L1256" s="52"/>
    </row>
    <row r="1257" spans="3:12" s="53" customFormat="1" ht="38.450000000000003" customHeight="1">
      <c r="C1257" s="154" t="s">
        <v>156</v>
      </c>
      <c r="D1257" s="47" t="s">
        <v>666</v>
      </c>
      <c r="E1257" s="48" t="s">
        <v>398</v>
      </c>
      <c r="F1257" s="48" t="s">
        <v>378</v>
      </c>
      <c r="G1257" s="49">
        <v>1</v>
      </c>
      <c r="H1257" s="51">
        <v>0</v>
      </c>
      <c r="I1257" s="56">
        <v>0</v>
      </c>
      <c r="J1257" s="51">
        <v>0</v>
      </c>
      <c r="K1257" s="50">
        <f t="shared" ref="K1257:K1265" si="114">+H1257+I1257+J1257</f>
        <v>0</v>
      </c>
      <c r="L1257" s="52">
        <f t="shared" ref="L1257:L1265" si="115">+K1257*G1257</f>
        <v>0</v>
      </c>
    </row>
    <row r="1258" spans="3:12" s="53" customFormat="1" ht="38.450000000000003" customHeight="1">
      <c r="C1258" s="154" t="s">
        <v>157</v>
      </c>
      <c r="D1258" s="47" t="s">
        <v>665</v>
      </c>
      <c r="E1258" s="48" t="s">
        <v>398</v>
      </c>
      <c r="F1258" s="48" t="s">
        <v>378</v>
      </c>
      <c r="G1258" s="49">
        <v>11</v>
      </c>
      <c r="H1258" s="51">
        <v>0</v>
      </c>
      <c r="I1258" s="56">
        <v>0</v>
      </c>
      <c r="J1258" s="51">
        <v>0</v>
      </c>
      <c r="K1258" s="50">
        <f t="shared" si="114"/>
        <v>0</v>
      </c>
      <c r="L1258" s="52">
        <f t="shared" si="115"/>
        <v>0</v>
      </c>
    </row>
    <row r="1259" spans="3:12" s="53" customFormat="1" ht="38.450000000000003" customHeight="1">
      <c r="C1259" s="154" t="s">
        <v>158</v>
      </c>
      <c r="D1259" s="47" t="s">
        <v>667</v>
      </c>
      <c r="E1259" s="48" t="s">
        <v>398</v>
      </c>
      <c r="F1259" s="48" t="s">
        <v>378</v>
      </c>
      <c r="G1259" s="49">
        <v>2</v>
      </c>
      <c r="H1259" s="51">
        <v>0</v>
      </c>
      <c r="I1259" s="56">
        <v>0</v>
      </c>
      <c r="J1259" s="51">
        <v>0</v>
      </c>
      <c r="K1259" s="50">
        <f>+H1259+I1259+J1259</f>
        <v>0</v>
      </c>
      <c r="L1259" s="52">
        <f>+K1259*G1259</f>
        <v>0</v>
      </c>
    </row>
    <row r="1260" spans="3:12" s="53" customFormat="1" ht="38.450000000000003" customHeight="1">
      <c r="C1260" s="154" t="s">
        <v>159</v>
      </c>
      <c r="D1260" s="47" t="s">
        <v>101</v>
      </c>
      <c r="E1260" s="48" t="s">
        <v>398</v>
      </c>
      <c r="F1260" s="48" t="s">
        <v>378</v>
      </c>
      <c r="G1260" s="49">
        <v>1</v>
      </c>
      <c r="H1260" s="51">
        <v>0</v>
      </c>
      <c r="I1260" s="56">
        <v>0</v>
      </c>
      <c r="J1260" s="51">
        <v>0</v>
      </c>
      <c r="K1260" s="50">
        <f t="shared" si="114"/>
        <v>0</v>
      </c>
      <c r="L1260" s="52">
        <f t="shared" si="115"/>
        <v>0</v>
      </c>
    </row>
    <row r="1261" spans="3:12" s="53" customFormat="1" ht="38.450000000000003" customHeight="1">
      <c r="C1261" s="154" t="s">
        <v>160</v>
      </c>
      <c r="D1261" s="47" t="s">
        <v>292</v>
      </c>
      <c r="E1261" s="48" t="s">
        <v>398</v>
      </c>
      <c r="F1261" s="48" t="s">
        <v>378</v>
      </c>
      <c r="G1261" s="49">
        <v>13</v>
      </c>
      <c r="H1261" s="51">
        <v>0</v>
      </c>
      <c r="I1261" s="56">
        <v>0</v>
      </c>
      <c r="J1261" s="51">
        <v>0</v>
      </c>
      <c r="K1261" s="50">
        <f t="shared" si="114"/>
        <v>0</v>
      </c>
      <c r="L1261" s="52">
        <f t="shared" si="115"/>
        <v>0</v>
      </c>
    </row>
    <row r="1262" spans="3:12" s="53" customFormat="1" ht="38.450000000000003" customHeight="1">
      <c r="C1262" s="154" t="s">
        <v>161</v>
      </c>
      <c r="D1262" s="47" t="s">
        <v>103</v>
      </c>
      <c r="E1262" s="48" t="s">
        <v>398</v>
      </c>
      <c r="F1262" s="48" t="s">
        <v>378</v>
      </c>
      <c r="G1262" s="49">
        <v>1</v>
      </c>
      <c r="H1262" s="51">
        <v>0</v>
      </c>
      <c r="I1262" s="56">
        <v>0</v>
      </c>
      <c r="J1262" s="51">
        <v>0</v>
      </c>
      <c r="K1262" s="50">
        <f t="shared" si="114"/>
        <v>0</v>
      </c>
      <c r="L1262" s="52">
        <f t="shared" si="115"/>
        <v>0</v>
      </c>
    </row>
    <row r="1263" spans="3:12" s="53" customFormat="1" ht="38.450000000000003" customHeight="1">
      <c r="C1263" s="154" t="s">
        <v>330</v>
      </c>
      <c r="D1263" s="47" t="s">
        <v>294</v>
      </c>
      <c r="E1263" s="48" t="s">
        <v>398</v>
      </c>
      <c r="F1263" s="48" t="s">
        <v>378</v>
      </c>
      <c r="G1263" s="49">
        <v>19</v>
      </c>
      <c r="H1263" s="51">
        <v>0</v>
      </c>
      <c r="I1263" s="56">
        <v>0</v>
      </c>
      <c r="J1263" s="51">
        <v>0</v>
      </c>
      <c r="K1263" s="50">
        <f t="shared" si="114"/>
        <v>0</v>
      </c>
      <c r="L1263" s="52">
        <f t="shared" si="115"/>
        <v>0</v>
      </c>
    </row>
    <row r="1264" spans="3:12" s="53" customFormat="1" ht="38.450000000000003" customHeight="1">
      <c r="C1264" s="154" t="s">
        <v>687</v>
      </c>
      <c r="D1264" s="47" t="s">
        <v>293</v>
      </c>
      <c r="E1264" s="48" t="s">
        <v>398</v>
      </c>
      <c r="F1264" s="48" t="s">
        <v>378</v>
      </c>
      <c r="G1264" s="49">
        <v>14</v>
      </c>
      <c r="H1264" s="51">
        <v>0</v>
      </c>
      <c r="I1264" s="56">
        <v>0</v>
      </c>
      <c r="J1264" s="51">
        <v>0</v>
      </c>
      <c r="K1264" s="50">
        <f t="shared" si="114"/>
        <v>0</v>
      </c>
      <c r="L1264" s="52">
        <f t="shared" si="115"/>
        <v>0</v>
      </c>
    </row>
    <row r="1265" spans="3:12" s="53" customFormat="1" ht="38.450000000000003" customHeight="1">
      <c r="C1265" s="154" t="s">
        <v>688</v>
      </c>
      <c r="D1265" s="47" t="s">
        <v>106</v>
      </c>
      <c r="E1265" s="48" t="s">
        <v>398</v>
      </c>
      <c r="F1265" s="48" t="s">
        <v>378</v>
      </c>
      <c r="G1265" s="49">
        <v>1</v>
      </c>
      <c r="H1265" s="51">
        <v>0</v>
      </c>
      <c r="I1265" s="56">
        <v>0</v>
      </c>
      <c r="J1265" s="51">
        <v>0</v>
      </c>
      <c r="K1265" s="50">
        <f t="shared" si="114"/>
        <v>0</v>
      </c>
      <c r="L1265" s="52">
        <f t="shared" si="115"/>
        <v>0</v>
      </c>
    </row>
    <row r="1266" spans="3:12" s="53" customFormat="1" ht="38.450000000000003" customHeight="1">
      <c r="C1266" s="154"/>
      <c r="D1266" s="151" t="s">
        <v>109</v>
      </c>
      <c r="E1266" s="79"/>
      <c r="F1266" s="48"/>
      <c r="G1266" s="49"/>
      <c r="H1266" s="99"/>
      <c r="I1266" s="56"/>
      <c r="J1266" s="51"/>
      <c r="K1266" s="50"/>
      <c r="L1266" s="52"/>
    </row>
    <row r="1267" spans="3:12" s="53" customFormat="1" ht="63.6" customHeight="1">
      <c r="C1267" s="154" t="s">
        <v>689</v>
      </c>
      <c r="D1267" s="147" t="s">
        <v>730</v>
      </c>
      <c r="E1267" s="61" t="s">
        <v>424</v>
      </c>
      <c r="F1267" s="48" t="s">
        <v>26</v>
      </c>
      <c r="G1267" s="49">
        <v>1</v>
      </c>
      <c r="H1267" s="51">
        <v>0</v>
      </c>
      <c r="I1267" s="56">
        <v>0</v>
      </c>
      <c r="J1267" s="51">
        <v>0</v>
      </c>
      <c r="K1267" s="50">
        <f>+H1267+I1267+J1267</f>
        <v>0</v>
      </c>
      <c r="L1267" s="52">
        <f>+K1267*G1267</f>
        <v>0</v>
      </c>
    </row>
    <row r="1268" spans="3:12" s="53" customFormat="1" ht="63.6" customHeight="1">
      <c r="C1268" s="154"/>
      <c r="D1268" s="147"/>
      <c r="E1268" s="61"/>
      <c r="F1268" s="48"/>
      <c r="G1268" s="49"/>
      <c r="H1268" s="51"/>
      <c r="I1268" s="56"/>
      <c r="J1268" s="51"/>
      <c r="K1268" s="50"/>
      <c r="L1268" s="52"/>
    </row>
    <row r="1269" spans="3:12" ht="39.950000000000003" customHeight="1">
      <c r="C1269" s="62"/>
      <c r="D1269" s="63" t="s">
        <v>731</v>
      </c>
      <c r="E1269" s="64"/>
      <c r="F1269" s="65"/>
      <c r="G1269" s="66"/>
      <c r="H1269" s="67">
        <f>SUMPRODUCT(G1230:G1267,H1230:H1267)</f>
        <v>0</v>
      </c>
      <c r="I1269" s="67">
        <f>SUMPRODUCT(G1230:G1267,I1230:I1267)</f>
        <v>0</v>
      </c>
      <c r="J1269" s="67">
        <f>SUMPRODUCT(G1230:G1267,J1230:J1267)</f>
        <v>0</v>
      </c>
      <c r="K1269" s="68"/>
      <c r="L1269" s="69">
        <f>SUM(L1230:L1267)</f>
        <v>0</v>
      </c>
    </row>
    <row r="1270" spans="3:12">
      <c r="C1270" s="70"/>
      <c r="D1270" s="57"/>
      <c r="E1270" s="58"/>
      <c r="F1270" s="58"/>
      <c r="G1270" s="55"/>
      <c r="H1270" s="51"/>
      <c r="I1270" s="56"/>
      <c r="J1270" s="56"/>
      <c r="K1270" s="51"/>
      <c r="L1270" s="59"/>
    </row>
    <row r="1271" spans="3:12" s="35" customFormat="1" ht="30" customHeight="1">
      <c r="C1271" s="25" t="s">
        <v>14</v>
      </c>
      <c r="D1271" s="26" t="s">
        <v>179</v>
      </c>
      <c r="E1271" s="27"/>
      <c r="F1271" s="27"/>
      <c r="G1271" s="128"/>
      <c r="H1271" s="123"/>
      <c r="I1271" s="123"/>
      <c r="J1271" s="123"/>
      <c r="K1271" s="123"/>
      <c r="L1271" s="124"/>
    </row>
    <row r="1272" spans="3:12" s="35" customFormat="1" ht="108.6" customHeight="1">
      <c r="C1272" s="25"/>
      <c r="D1272" s="26" t="s">
        <v>691</v>
      </c>
      <c r="E1272" s="27"/>
      <c r="F1272" s="27"/>
      <c r="G1272" s="128"/>
      <c r="H1272" s="123"/>
      <c r="I1272" s="123"/>
      <c r="J1272" s="123"/>
      <c r="K1272" s="123"/>
      <c r="L1272" s="124"/>
    </row>
    <row r="1273" spans="3:12" s="35" customFormat="1">
      <c r="C1273" s="154"/>
      <c r="D1273" s="159"/>
      <c r="E1273" s="172"/>
      <c r="F1273" s="48"/>
      <c r="G1273" s="165"/>
      <c r="H1273" s="43"/>
      <c r="I1273" s="44"/>
      <c r="J1273" s="44"/>
      <c r="K1273" s="43"/>
      <c r="L1273" s="45"/>
    </row>
    <row r="1274" spans="3:12" s="119" customFormat="1" ht="46.15" customHeight="1">
      <c r="C1274" s="154" t="s">
        <v>112</v>
      </c>
      <c r="D1274" s="47" t="s">
        <v>957</v>
      </c>
      <c r="E1274" s="48" t="s">
        <v>849</v>
      </c>
      <c r="F1274" s="48" t="s">
        <v>378</v>
      </c>
      <c r="G1274" s="49">
        <v>3</v>
      </c>
      <c r="H1274" s="51">
        <v>0</v>
      </c>
      <c r="I1274" s="56">
        <v>0</v>
      </c>
      <c r="J1274" s="51">
        <v>0</v>
      </c>
      <c r="K1274" s="50">
        <f>+H1274+I1274+J1274</f>
        <v>0</v>
      </c>
      <c r="L1274" s="52">
        <f>+K1274*G1274</f>
        <v>0</v>
      </c>
    </row>
    <row r="1275" spans="3:12" s="119" customFormat="1" ht="46.15" customHeight="1">
      <c r="C1275" s="154" t="s">
        <v>113</v>
      </c>
      <c r="D1275" s="47" t="s">
        <v>648</v>
      </c>
      <c r="E1275" s="48" t="s">
        <v>849</v>
      </c>
      <c r="F1275" s="48" t="s">
        <v>378</v>
      </c>
      <c r="G1275" s="49">
        <v>2</v>
      </c>
      <c r="H1275" s="51">
        <v>0</v>
      </c>
      <c r="I1275" s="56">
        <v>0</v>
      </c>
      <c r="J1275" s="51">
        <v>0</v>
      </c>
      <c r="K1275" s="50">
        <f t="shared" ref="K1275:K1300" si="116">+H1275+I1275+J1275</f>
        <v>0</v>
      </c>
      <c r="L1275" s="52">
        <f t="shared" ref="L1275:L1300" si="117">+K1275*G1275</f>
        <v>0</v>
      </c>
    </row>
    <row r="1276" spans="3:12" s="119" customFormat="1" ht="46.15" customHeight="1">
      <c r="C1276" s="154" t="s">
        <v>37</v>
      </c>
      <c r="D1276" s="47" t="s">
        <v>649</v>
      </c>
      <c r="E1276" s="48" t="s">
        <v>849</v>
      </c>
      <c r="F1276" s="48" t="s">
        <v>378</v>
      </c>
      <c r="G1276" s="49">
        <v>1</v>
      </c>
      <c r="H1276" s="51">
        <v>0</v>
      </c>
      <c r="I1276" s="56">
        <v>0</v>
      </c>
      <c r="J1276" s="51">
        <v>0</v>
      </c>
      <c r="K1276" s="50">
        <f t="shared" si="116"/>
        <v>0</v>
      </c>
      <c r="L1276" s="52">
        <f t="shared" si="117"/>
        <v>0</v>
      </c>
    </row>
    <row r="1277" spans="3:12" s="119" customFormat="1" ht="46.15" customHeight="1">
      <c r="C1277" s="154" t="s">
        <v>40</v>
      </c>
      <c r="D1277" s="47" t="s">
        <v>650</v>
      </c>
      <c r="E1277" s="48" t="s">
        <v>849</v>
      </c>
      <c r="F1277" s="48" t="s">
        <v>378</v>
      </c>
      <c r="G1277" s="49">
        <v>2</v>
      </c>
      <c r="H1277" s="51">
        <v>0</v>
      </c>
      <c r="I1277" s="56">
        <v>0</v>
      </c>
      <c r="J1277" s="51">
        <v>0</v>
      </c>
      <c r="K1277" s="50">
        <f t="shared" si="116"/>
        <v>0</v>
      </c>
      <c r="L1277" s="52">
        <f t="shared" si="117"/>
        <v>0</v>
      </c>
    </row>
    <row r="1278" spans="3:12" s="119" customFormat="1" ht="46.15" customHeight="1">
      <c r="C1278" s="154" t="s">
        <v>114</v>
      </c>
      <c r="D1278" s="147" t="s">
        <v>661</v>
      </c>
      <c r="E1278" s="48" t="s">
        <v>849</v>
      </c>
      <c r="F1278" s="48" t="s">
        <v>378</v>
      </c>
      <c r="G1278" s="49">
        <v>1</v>
      </c>
      <c r="H1278" s="51">
        <v>0</v>
      </c>
      <c r="I1278" s="56">
        <v>0</v>
      </c>
      <c r="J1278" s="51">
        <v>0</v>
      </c>
      <c r="K1278" s="50">
        <f t="shared" si="116"/>
        <v>0</v>
      </c>
      <c r="L1278" s="52">
        <f t="shared" si="117"/>
        <v>0</v>
      </c>
    </row>
    <row r="1279" spans="3:12" s="119" customFormat="1" ht="46.15" customHeight="1">
      <c r="C1279" s="154" t="s">
        <v>115</v>
      </c>
      <c r="D1279" s="47" t="s">
        <v>651</v>
      </c>
      <c r="E1279" s="48" t="s">
        <v>849</v>
      </c>
      <c r="F1279" s="48" t="s">
        <v>378</v>
      </c>
      <c r="G1279" s="49">
        <v>3</v>
      </c>
      <c r="H1279" s="51">
        <v>0</v>
      </c>
      <c r="I1279" s="56">
        <v>0</v>
      </c>
      <c r="J1279" s="51">
        <v>0</v>
      </c>
      <c r="K1279" s="50">
        <f t="shared" si="116"/>
        <v>0</v>
      </c>
      <c r="L1279" s="52">
        <f t="shared" si="117"/>
        <v>0</v>
      </c>
    </row>
    <row r="1280" spans="3:12" s="119" customFormat="1" ht="46.15" customHeight="1">
      <c r="C1280" s="154" t="s">
        <v>116</v>
      </c>
      <c r="D1280" s="47" t="s">
        <v>652</v>
      </c>
      <c r="E1280" s="48" t="s">
        <v>849</v>
      </c>
      <c r="F1280" s="48" t="s">
        <v>378</v>
      </c>
      <c r="G1280" s="49">
        <v>1</v>
      </c>
      <c r="H1280" s="51">
        <v>0</v>
      </c>
      <c r="I1280" s="56">
        <v>0</v>
      </c>
      <c r="J1280" s="51">
        <v>0</v>
      </c>
      <c r="K1280" s="50">
        <f t="shared" si="116"/>
        <v>0</v>
      </c>
      <c r="L1280" s="52">
        <f t="shared" si="117"/>
        <v>0</v>
      </c>
    </row>
    <row r="1281" spans="3:12" s="119" customFormat="1" ht="46.15" customHeight="1">
      <c r="C1281" s="154" t="s">
        <v>117</v>
      </c>
      <c r="D1281" s="47" t="s">
        <v>653</v>
      </c>
      <c r="E1281" s="48" t="s">
        <v>849</v>
      </c>
      <c r="F1281" s="48" t="s">
        <v>378</v>
      </c>
      <c r="G1281" s="49">
        <v>5</v>
      </c>
      <c r="H1281" s="51">
        <v>0</v>
      </c>
      <c r="I1281" s="56">
        <v>0</v>
      </c>
      <c r="J1281" s="51">
        <v>0</v>
      </c>
      <c r="K1281" s="50">
        <f t="shared" si="116"/>
        <v>0</v>
      </c>
      <c r="L1281" s="52">
        <f t="shared" si="117"/>
        <v>0</v>
      </c>
    </row>
    <row r="1282" spans="3:12" s="35" customFormat="1" ht="46.15" customHeight="1">
      <c r="C1282" s="154" t="s">
        <v>118</v>
      </c>
      <c r="D1282" s="47" t="s">
        <v>654</v>
      </c>
      <c r="E1282" s="48" t="s">
        <v>849</v>
      </c>
      <c r="F1282" s="48" t="s">
        <v>378</v>
      </c>
      <c r="G1282" s="165">
        <v>10</v>
      </c>
      <c r="H1282" s="51">
        <v>0</v>
      </c>
      <c r="I1282" s="56">
        <v>0</v>
      </c>
      <c r="J1282" s="51">
        <v>0</v>
      </c>
      <c r="K1282" s="50">
        <f t="shared" si="116"/>
        <v>0</v>
      </c>
      <c r="L1282" s="52">
        <f t="shared" si="117"/>
        <v>0</v>
      </c>
    </row>
    <row r="1283" spans="3:12" s="119" customFormat="1" ht="46.15" customHeight="1">
      <c r="C1283" s="154" t="s">
        <v>119</v>
      </c>
      <c r="D1283" s="47" t="s">
        <v>655</v>
      </c>
      <c r="E1283" s="48" t="s">
        <v>849</v>
      </c>
      <c r="F1283" s="48" t="s">
        <v>378</v>
      </c>
      <c r="G1283" s="49">
        <v>5</v>
      </c>
      <c r="H1283" s="51">
        <v>0</v>
      </c>
      <c r="I1283" s="56">
        <v>0</v>
      </c>
      <c r="J1283" s="51">
        <v>0</v>
      </c>
      <c r="K1283" s="50">
        <f t="shared" si="116"/>
        <v>0</v>
      </c>
      <c r="L1283" s="52">
        <f t="shared" si="117"/>
        <v>0</v>
      </c>
    </row>
    <row r="1284" spans="3:12" s="119" customFormat="1" ht="46.15" customHeight="1">
      <c r="C1284" s="154" t="s">
        <v>120</v>
      </c>
      <c r="D1284" s="47" t="s">
        <v>656</v>
      </c>
      <c r="E1284" s="48" t="s">
        <v>849</v>
      </c>
      <c r="F1284" s="48" t="s">
        <v>378</v>
      </c>
      <c r="G1284" s="49">
        <v>4</v>
      </c>
      <c r="H1284" s="51">
        <v>0</v>
      </c>
      <c r="I1284" s="56">
        <v>0</v>
      </c>
      <c r="J1284" s="51">
        <v>0</v>
      </c>
      <c r="K1284" s="50">
        <f t="shared" si="116"/>
        <v>0</v>
      </c>
      <c r="L1284" s="52">
        <f t="shared" si="117"/>
        <v>0</v>
      </c>
    </row>
    <row r="1285" spans="3:12" s="119" customFormat="1" ht="46.15" customHeight="1">
      <c r="C1285" s="154" t="s">
        <v>121</v>
      </c>
      <c r="D1285" s="47" t="s">
        <v>657</v>
      </c>
      <c r="E1285" s="48" t="s">
        <v>849</v>
      </c>
      <c r="F1285" s="48" t="s">
        <v>378</v>
      </c>
      <c r="G1285" s="49">
        <v>1</v>
      </c>
      <c r="H1285" s="51">
        <v>0</v>
      </c>
      <c r="I1285" s="56">
        <v>0</v>
      </c>
      <c r="J1285" s="51">
        <v>0</v>
      </c>
      <c r="K1285" s="50">
        <f t="shared" si="116"/>
        <v>0</v>
      </c>
      <c r="L1285" s="52">
        <f t="shared" si="117"/>
        <v>0</v>
      </c>
    </row>
    <row r="1286" spans="3:12" s="119" customFormat="1" ht="46.15" customHeight="1">
      <c r="C1286" s="154" t="s">
        <v>279</v>
      </c>
      <c r="D1286" s="47" t="s">
        <v>658</v>
      </c>
      <c r="E1286" s="48" t="s">
        <v>849</v>
      </c>
      <c r="F1286" s="48" t="s">
        <v>378</v>
      </c>
      <c r="G1286" s="49">
        <v>50</v>
      </c>
      <c r="H1286" s="51">
        <v>0</v>
      </c>
      <c r="I1286" s="56">
        <v>0</v>
      </c>
      <c r="J1286" s="51">
        <v>0</v>
      </c>
      <c r="K1286" s="50">
        <f t="shared" si="116"/>
        <v>0</v>
      </c>
      <c r="L1286" s="52">
        <f t="shared" si="117"/>
        <v>0</v>
      </c>
    </row>
    <row r="1287" spans="3:12" s="119" customFormat="1" ht="46.15" customHeight="1">
      <c r="C1287" s="154" t="s">
        <v>280</v>
      </c>
      <c r="D1287" s="47" t="s">
        <v>659</v>
      </c>
      <c r="E1287" s="48" t="s">
        <v>849</v>
      </c>
      <c r="F1287" s="48" t="s">
        <v>378</v>
      </c>
      <c r="G1287" s="49">
        <v>140</v>
      </c>
      <c r="H1287" s="51">
        <v>0</v>
      </c>
      <c r="I1287" s="56">
        <v>0</v>
      </c>
      <c r="J1287" s="51">
        <v>0</v>
      </c>
      <c r="K1287" s="50">
        <f t="shared" si="116"/>
        <v>0</v>
      </c>
      <c r="L1287" s="52">
        <f t="shared" si="117"/>
        <v>0</v>
      </c>
    </row>
    <row r="1288" spans="3:12" s="119" customFormat="1" ht="46.15" customHeight="1">
      <c r="C1288" s="154" t="s">
        <v>281</v>
      </c>
      <c r="D1288" s="47" t="s">
        <v>660</v>
      </c>
      <c r="E1288" s="48" t="s">
        <v>849</v>
      </c>
      <c r="F1288" s="48" t="s">
        <v>26</v>
      </c>
      <c r="G1288" s="49">
        <v>1</v>
      </c>
      <c r="H1288" s="51">
        <v>0</v>
      </c>
      <c r="I1288" s="56">
        <v>0</v>
      </c>
      <c r="J1288" s="51">
        <v>0</v>
      </c>
      <c r="K1288" s="50">
        <f t="shared" si="116"/>
        <v>0</v>
      </c>
      <c r="L1288" s="52">
        <f t="shared" si="117"/>
        <v>0</v>
      </c>
    </row>
    <row r="1289" spans="3:12" s="119" customFormat="1" ht="46.15" customHeight="1">
      <c r="C1289" s="154" t="s">
        <v>282</v>
      </c>
      <c r="D1289" s="147" t="s">
        <v>956</v>
      </c>
      <c r="E1289" s="48" t="s">
        <v>849</v>
      </c>
      <c r="F1289" s="48" t="s">
        <v>26</v>
      </c>
      <c r="G1289" s="49">
        <v>5</v>
      </c>
      <c r="H1289" s="51">
        <v>0</v>
      </c>
      <c r="I1289" s="56">
        <v>0</v>
      </c>
      <c r="J1289" s="51">
        <v>0</v>
      </c>
      <c r="K1289" s="50">
        <f t="shared" si="116"/>
        <v>0</v>
      </c>
      <c r="L1289" s="52">
        <f t="shared" si="117"/>
        <v>0</v>
      </c>
    </row>
    <row r="1290" spans="3:12" s="119" customFormat="1" ht="46.15" customHeight="1">
      <c r="C1290" s="154" t="s">
        <v>283</v>
      </c>
      <c r="D1290" s="47" t="s">
        <v>110</v>
      </c>
      <c r="E1290" s="48" t="s">
        <v>849</v>
      </c>
      <c r="F1290" s="48" t="s">
        <v>26</v>
      </c>
      <c r="G1290" s="49">
        <v>1</v>
      </c>
      <c r="H1290" s="51">
        <v>0</v>
      </c>
      <c r="I1290" s="56">
        <v>0</v>
      </c>
      <c r="J1290" s="51">
        <v>0</v>
      </c>
      <c r="K1290" s="50">
        <f t="shared" si="116"/>
        <v>0</v>
      </c>
      <c r="L1290" s="52">
        <f t="shared" si="117"/>
        <v>0</v>
      </c>
    </row>
    <row r="1291" spans="3:12" s="53" customFormat="1" ht="46.15" customHeight="1">
      <c r="C1291" s="154"/>
      <c r="D1291" s="151" t="s">
        <v>97</v>
      </c>
      <c r="E1291" s="79"/>
      <c r="F1291" s="48"/>
      <c r="G1291" s="49"/>
      <c r="H1291" s="51"/>
      <c r="I1291" s="56"/>
      <c r="J1291" s="51"/>
      <c r="K1291" s="50"/>
      <c r="L1291" s="52"/>
    </row>
    <row r="1292" spans="3:12" s="53" customFormat="1" ht="46.15" customHeight="1">
      <c r="C1292" s="154" t="s">
        <v>284</v>
      </c>
      <c r="D1292" s="47" t="s">
        <v>662</v>
      </c>
      <c r="E1292" s="48" t="s">
        <v>367</v>
      </c>
      <c r="F1292" s="48" t="s">
        <v>378</v>
      </c>
      <c r="G1292" s="49">
        <v>1</v>
      </c>
      <c r="H1292" s="51">
        <v>0</v>
      </c>
      <c r="I1292" s="56">
        <v>0</v>
      </c>
      <c r="J1292" s="51">
        <v>0</v>
      </c>
      <c r="K1292" s="50">
        <f t="shared" si="116"/>
        <v>0</v>
      </c>
      <c r="L1292" s="52">
        <f t="shared" si="117"/>
        <v>0</v>
      </c>
    </row>
    <row r="1293" spans="3:12" s="53" customFormat="1" ht="46.15" customHeight="1">
      <c r="C1293" s="154" t="s">
        <v>285</v>
      </c>
      <c r="D1293" s="47" t="s">
        <v>663</v>
      </c>
      <c r="E1293" s="48" t="s">
        <v>367</v>
      </c>
      <c r="F1293" s="48" t="s">
        <v>378</v>
      </c>
      <c r="G1293" s="49">
        <v>1</v>
      </c>
      <c r="H1293" s="51">
        <v>0</v>
      </c>
      <c r="I1293" s="56">
        <v>0</v>
      </c>
      <c r="J1293" s="51">
        <v>0</v>
      </c>
      <c r="K1293" s="50">
        <f t="shared" si="116"/>
        <v>0</v>
      </c>
      <c r="L1293" s="52">
        <f t="shared" si="117"/>
        <v>0</v>
      </c>
    </row>
    <row r="1294" spans="3:12" s="53" customFormat="1" ht="46.15" customHeight="1">
      <c r="C1294" s="154" t="s">
        <v>322</v>
      </c>
      <c r="D1294" s="47" t="s">
        <v>103</v>
      </c>
      <c r="E1294" s="48" t="s">
        <v>367</v>
      </c>
      <c r="F1294" s="48" t="s">
        <v>378</v>
      </c>
      <c r="G1294" s="49">
        <v>1</v>
      </c>
      <c r="H1294" s="51">
        <v>0</v>
      </c>
      <c r="I1294" s="56">
        <v>0</v>
      </c>
      <c r="J1294" s="51">
        <v>0</v>
      </c>
      <c r="K1294" s="50">
        <f t="shared" si="116"/>
        <v>0</v>
      </c>
      <c r="L1294" s="52">
        <f t="shared" si="117"/>
        <v>0</v>
      </c>
    </row>
    <row r="1295" spans="3:12" s="53" customFormat="1" ht="46.15" customHeight="1">
      <c r="C1295" s="154" t="s">
        <v>323</v>
      </c>
      <c r="D1295" s="47" t="s">
        <v>293</v>
      </c>
      <c r="E1295" s="48" t="s">
        <v>367</v>
      </c>
      <c r="F1295" s="48" t="s">
        <v>378</v>
      </c>
      <c r="G1295" s="49">
        <v>1</v>
      </c>
      <c r="H1295" s="51">
        <v>0</v>
      </c>
      <c r="I1295" s="56">
        <v>0</v>
      </c>
      <c r="J1295" s="51">
        <v>0</v>
      </c>
      <c r="K1295" s="50">
        <f t="shared" si="116"/>
        <v>0</v>
      </c>
      <c r="L1295" s="52">
        <f t="shared" si="117"/>
        <v>0</v>
      </c>
    </row>
    <row r="1296" spans="3:12" s="53" customFormat="1" ht="46.15" customHeight="1">
      <c r="C1296" s="154" t="s">
        <v>324</v>
      </c>
      <c r="D1296" s="47" t="s">
        <v>695</v>
      </c>
      <c r="E1296" s="48" t="s">
        <v>367</v>
      </c>
      <c r="F1296" s="48" t="s">
        <v>378</v>
      </c>
      <c r="G1296" s="49">
        <v>1</v>
      </c>
      <c r="H1296" s="51">
        <v>0</v>
      </c>
      <c r="I1296" s="56">
        <v>0</v>
      </c>
      <c r="J1296" s="51">
        <v>0</v>
      </c>
      <c r="K1296" s="50">
        <f t="shared" si="116"/>
        <v>0</v>
      </c>
      <c r="L1296" s="52">
        <f t="shared" si="117"/>
        <v>0</v>
      </c>
    </row>
    <row r="1297" spans="3:12" s="119" customFormat="1" ht="46.15" customHeight="1">
      <c r="C1297" s="173"/>
      <c r="D1297" s="174" t="s">
        <v>180</v>
      </c>
      <c r="E1297" s="169"/>
      <c r="F1297" s="48"/>
      <c r="G1297" s="165"/>
      <c r="H1297" s="51"/>
      <c r="I1297" s="56"/>
      <c r="J1297" s="51"/>
      <c r="K1297" s="50"/>
      <c r="L1297" s="52"/>
    </row>
    <row r="1298" spans="3:12" s="53" customFormat="1" ht="46.15" customHeight="1">
      <c r="C1298" s="154" t="s">
        <v>325</v>
      </c>
      <c r="D1298" s="47" t="s">
        <v>692</v>
      </c>
      <c r="E1298" s="48" t="s">
        <v>411</v>
      </c>
      <c r="F1298" s="76" t="s">
        <v>387</v>
      </c>
      <c r="G1298" s="49">
        <v>11000</v>
      </c>
      <c r="H1298" s="51">
        <v>0</v>
      </c>
      <c r="I1298" s="56">
        <v>0</v>
      </c>
      <c r="J1298" s="51">
        <v>0</v>
      </c>
      <c r="K1298" s="50">
        <f t="shared" si="116"/>
        <v>0</v>
      </c>
      <c r="L1298" s="52">
        <f t="shared" si="117"/>
        <v>0</v>
      </c>
    </row>
    <row r="1299" spans="3:12" s="53" customFormat="1" ht="46.15" customHeight="1">
      <c r="C1299" s="154" t="s">
        <v>326</v>
      </c>
      <c r="D1299" s="47" t="s">
        <v>664</v>
      </c>
      <c r="E1299" s="48" t="s">
        <v>850</v>
      </c>
      <c r="F1299" s="76" t="s">
        <v>387</v>
      </c>
      <c r="G1299" s="49">
        <v>1300</v>
      </c>
      <c r="H1299" s="51">
        <v>0</v>
      </c>
      <c r="I1299" s="56">
        <v>0</v>
      </c>
      <c r="J1299" s="51">
        <v>0</v>
      </c>
      <c r="K1299" s="50">
        <f t="shared" si="116"/>
        <v>0</v>
      </c>
      <c r="L1299" s="52">
        <f t="shared" si="117"/>
        <v>0</v>
      </c>
    </row>
    <row r="1300" spans="3:12" s="53" customFormat="1" ht="46.15" customHeight="1">
      <c r="C1300" s="154" t="s">
        <v>327</v>
      </c>
      <c r="D1300" s="47" t="s">
        <v>693</v>
      </c>
      <c r="E1300" s="48" t="s">
        <v>411</v>
      </c>
      <c r="F1300" s="76" t="s">
        <v>387</v>
      </c>
      <c r="G1300" s="49">
        <v>1500</v>
      </c>
      <c r="H1300" s="51">
        <v>0</v>
      </c>
      <c r="I1300" s="56">
        <v>0</v>
      </c>
      <c r="J1300" s="51">
        <v>0</v>
      </c>
      <c r="K1300" s="50">
        <f t="shared" si="116"/>
        <v>0</v>
      </c>
      <c r="L1300" s="52">
        <f t="shared" si="117"/>
        <v>0</v>
      </c>
    </row>
    <row r="1301" spans="3:12" s="53" customFormat="1" ht="46.15" customHeight="1">
      <c r="C1301" s="154"/>
      <c r="D1301" s="47"/>
      <c r="E1301" s="48"/>
      <c r="F1301" s="76"/>
      <c r="G1301" s="49"/>
      <c r="H1301" s="50"/>
      <c r="I1301" s="54"/>
      <c r="J1301" s="50"/>
      <c r="K1301" s="50"/>
      <c r="L1301" s="52"/>
    </row>
    <row r="1302" spans="3:12" s="35" customFormat="1" ht="39.950000000000003" customHeight="1">
      <c r="C1302" s="62"/>
      <c r="D1302" s="63" t="s">
        <v>694</v>
      </c>
      <c r="E1302" s="64"/>
      <c r="F1302" s="125"/>
      <c r="G1302" s="126"/>
      <c r="H1302" s="127">
        <f>SUMPRODUCT(G1274:G1300,H1274:H1300)</f>
        <v>0</v>
      </c>
      <c r="I1302" s="127">
        <f>SUMPRODUCT(G1274:G1300,I1274:I1300)</f>
        <v>0</v>
      </c>
      <c r="J1302" s="127">
        <f>SUMPRODUCT(G1274:G1300,J1274:J1300)</f>
        <v>0</v>
      </c>
      <c r="K1302" s="68"/>
      <c r="L1302" s="69">
        <f>SUM(L1274:L1300)</f>
        <v>0</v>
      </c>
    </row>
    <row r="1303" spans="3:12" s="35" customFormat="1">
      <c r="C1303" s="94"/>
      <c r="D1303" s="95"/>
      <c r="E1303" s="96"/>
      <c r="F1303" s="41"/>
      <c r="G1303" s="55"/>
      <c r="H1303" s="43"/>
      <c r="I1303" s="102"/>
      <c r="J1303" s="102"/>
      <c r="K1303" s="100"/>
      <c r="L1303" s="101"/>
    </row>
    <row r="1304" spans="3:12" ht="30" customHeight="1">
      <c r="C1304" s="25" t="s">
        <v>15</v>
      </c>
      <c r="D1304" s="26" t="s">
        <v>111</v>
      </c>
      <c r="E1304" s="27"/>
      <c r="F1304" s="28"/>
      <c r="G1304" s="29"/>
      <c r="H1304" s="30"/>
      <c r="I1304" s="31"/>
      <c r="J1304" s="31"/>
      <c r="K1304" s="32"/>
      <c r="L1304" s="33"/>
    </row>
    <row r="1305" spans="3:12" ht="17.45" customHeight="1">
      <c r="C1305" s="25"/>
      <c r="D1305" s="26"/>
      <c r="E1305" s="27"/>
      <c r="F1305" s="28"/>
      <c r="G1305" s="29"/>
      <c r="H1305" s="30"/>
      <c r="I1305" s="31"/>
      <c r="J1305" s="31"/>
      <c r="K1305" s="32"/>
      <c r="L1305" s="33"/>
    </row>
    <row r="1306" spans="3:12" s="35" customFormat="1" ht="85.9" customHeight="1">
      <c r="C1306" s="25"/>
      <c r="D1306" s="26" t="s">
        <v>700</v>
      </c>
      <c r="E1306" s="27"/>
      <c r="F1306" s="27"/>
      <c r="G1306" s="128"/>
      <c r="H1306" s="123"/>
      <c r="I1306" s="123"/>
      <c r="J1306" s="123"/>
      <c r="K1306" s="123"/>
      <c r="L1306" s="124"/>
    </row>
    <row r="1307" spans="3:12" s="35" customFormat="1">
      <c r="C1307" s="25"/>
      <c r="D1307" s="26"/>
      <c r="E1307" s="27"/>
      <c r="F1307" s="27"/>
      <c r="G1307" s="128"/>
      <c r="H1307" s="123"/>
      <c r="I1307" s="123"/>
      <c r="J1307" s="123"/>
      <c r="K1307" s="123"/>
      <c r="L1307" s="124"/>
    </row>
    <row r="1308" spans="3:12" s="53" customFormat="1" ht="30" customHeight="1">
      <c r="C1308" s="154" t="s">
        <v>126</v>
      </c>
      <c r="D1308" s="47" t="s">
        <v>623</v>
      </c>
      <c r="E1308" s="48" t="s">
        <v>975</v>
      </c>
      <c r="F1308" s="48" t="s">
        <v>378</v>
      </c>
      <c r="G1308" s="49">
        <v>2</v>
      </c>
      <c r="H1308" s="51">
        <v>0</v>
      </c>
      <c r="I1308" s="56">
        <v>0</v>
      </c>
      <c r="J1308" s="51">
        <v>0</v>
      </c>
      <c r="K1308" s="50">
        <f>+H1308+I1308+J1308</f>
        <v>0</v>
      </c>
      <c r="L1308" s="52">
        <f>+K1308*G1308</f>
        <v>0</v>
      </c>
    </row>
    <row r="1309" spans="3:12" s="53" customFormat="1" ht="30" customHeight="1">
      <c r="C1309" s="154" t="s">
        <v>333</v>
      </c>
      <c r="D1309" s="47" t="s">
        <v>427</v>
      </c>
      <c r="E1309" s="48" t="s">
        <v>975</v>
      </c>
      <c r="F1309" s="48" t="s">
        <v>378</v>
      </c>
      <c r="G1309" s="49">
        <v>2</v>
      </c>
      <c r="H1309" s="51">
        <v>0</v>
      </c>
      <c r="I1309" s="56">
        <v>0</v>
      </c>
      <c r="J1309" s="51">
        <v>0</v>
      </c>
      <c r="K1309" s="50">
        <f t="shared" ref="K1309:K1344" si="118">+H1309+I1309+J1309</f>
        <v>0</v>
      </c>
      <c r="L1309" s="52">
        <f t="shared" ref="L1309:L1344" si="119">+K1309*G1309</f>
        <v>0</v>
      </c>
    </row>
    <row r="1310" spans="3:12" s="78" customFormat="1" ht="30" customHeight="1">
      <c r="C1310" s="154" t="s">
        <v>127</v>
      </c>
      <c r="D1310" s="47" t="s">
        <v>624</v>
      </c>
      <c r="E1310" s="48" t="s">
        <v>975</v>
      </c>
      <c r="F1310" s="48" t="s">
        <v>378</v>
      </c>
      <c r="G1310" s="77">
        <v>2</v>
      </c>
      <c r="H1310" s="51">
        <v>0</v>
      </c>
      <c r="I1310" s="56">
        <v>0</v>
      </c>
      <c r="J1310" s="51">
        <v>0</v>
      </c>
      <c r="K1310" s="50">
        <f t="shared" si="118"/>
        <v>0</v>
      </c>
      <c r="L1310" s="52">
        <f t="shared" si="119"/>
        <v>0</v>
      </c>
    </row>
    <row r="1311" spans="3:12" s="78" customFormat="1" ht="30" customHeight="1">
      <c r="C1311" s="154" t="s">
        <v>128</v>
      </c>
      <c r="D1311" s="47" t="s">
        <v>701</v>
      </c>
      <c r="E1311" s="48" t="s">
        <v>975</v>
      </c>
      <c r="F1311" s="48" t="s">
        <v>378</v>
      </c>
      <c r="G1311" s="77">
        <v>91</v>
      </c>
      <c r="H1311" s="51">
        <v>0</v>
      </c>
      <c r="I1311" s="56">
        <v>0</v>
      </c>
      <c r="J1311" s="51">
        <v>0</v>
      </c>
      <c r="K1311" s="50">
        <f t="shared" si="118"/>
        <v>0</v>
      </c>
      <c r="L1311" s="52">
        <f t="shared" si="119"/>
        <v>0</v>
      </c>
    </row>
    <row r="1312" spans="3:12" s="78" customFormat="1" ht="30" customHeight="1">
      <c r="C1312" s="154" t="s">
        <v>129</v>
      </c>
      <c r="D1312" s="47" t="s">
        <v>702</v>
      </c>
      <c r="E1312" s="48" t="s">
        <v>975</v>
      </c>
      <c r="F1312" s="48" t="s">
        <v>378</v>
      </c>
      <c r="G1312" s="77">
        <v>469</v>
      </c>
      <c r="H1312" s="51">
        <v>0</v>
      </c>
      <c r="I1312" s="56">
        <v>0</v>
      </c>
      <c r="J1312" s="51">
        <v>0</v>
      </c>
      <c r="K1312" s="50">
        <f t="shared" si="118"/>
        <v>0</v>
      </c>
      <c r="L1312" s="52">
        <f t="shared" si="119"/>
        <v>0</v>
      </c>
    </row>
    <row r="1313" spans="3:12" s="78" customFormat="1" ht="30" customHeight="1">
      <c r="C1313" s="154" t="s">
        <v>163</v>
      </c>
      <c r="D1313" s="47" t="s">
        <v>625</v>
      </c>
      <c r="E1313" s="48" t="s">
        <v>975</v>
      </c>
      <c r="F1313" s="48" t="s">
        <v>378</v>
      </c>
      <c r="G1313" s="77">
        <v>1</v>
      </c>
      <c r="H1313" s="51">
        <v>0</v>
      </c>
      <c r="I1313" s="56">
        <v>0</v>
      </c>
      <c r="J1313" s="51">
        <v>0</v>
      </c>
      <c r="K1313" s="50">
        <f t="shared" si="118"/>
        <v>0</v>
      </c>
      <c r="L1313" s="52">
        <f t="shared" si="119"/>
        <v>0</v>
      </c>
    </row>
    <row r="1314" spans="3:12" s="78" customFormat="1" ht="30" customHeight="1">
      <c r="C1314" s="154" t="s">
        <v>164</v>
      </c>
      <c r="D1314" s="47" t="s">
        <v>703</v>
      </c>
      <c r="E1314" s="48" t="s">
        <v>975</v>
      </c>
      <c r="F1314" s="48" t="s">
        <v>378</v>
      </c>
      <c r="G1314" s="77">
        <v>43</v>
      </c>
      <c r="H1314" s="51">
        <v>0</v>
      </c>
      <c r="I1314" s="56">
        <v>0</v>
      </c>
      <c r="J1314" s="51">
        <v>0</v>
      </c>
      <c r="K1314" s="50">
        <f t="shared" si="118"/>
        <v>0</v>
      </c>
      <c r="L1314" s="52">
        <f t="shared" si="119"/>
        <v>0</v>
      </c>
    </row>
    <row r="1315" spans="3:12" s="78" customFormat="1" ht="30" customHeight="1">
      <c r="C1315" s="154" t="s">
        <v>130</v>
      </c>
      <c r="D1315" s="47" t="s">
        <v>704</v>
      </c>
      <c r="E1315" s="48" t="s">
        <v>975</v>
      </c>
      <c r="F1315" s="48" t="s">
        <v>378</v>
      </c>
      <c r="G1315" s="77">
        <v>1</v>
      </c>
      <c r="H1315" s="51">
        <v>0</v>
      </c>
      <c r="I1315" s="56">
        <v>0</v>
      </c>
      <c r="J1315" s="51">
        <v>0</v>
      </c>
      <c r="K1315" s="50">
        <f t="shared" si="118"/>
        <v>0</v>
      </c>
      <c r="L1315" s="52">
        <f t="shared" si="119"/>
        <v>0</v>
      </c>
    </row>
    <row r="1316" spans="3:12" s="78" customFormat="1" ht="30" customHeight="1">
      <c r="C1316" s="154" t="s">
        <v>131</v>
      </c>
      <c r="D1316" s="47" t="s">
        <v>705</v>
      </c>
      <c r="E1316" s="48" t="s">
        <v>975</v>
      </c>
      <c r="F1316" s="48" t="s">
        <v>378</v>
      </c>
      <c r="G1316" s="77">
        <v>14</v>
      </c>
      <c r="H1316" s="51">
        <v>0</v>
      </c>
      <c r="I1316" s="56">
        <v>0</v>
      </c>
      <c r="J1316" s="51">
        <v>0</v>
      </c>
      <c r="K1316" s="50">
        <f t="shared" si="118"/>
        <v>0</v>
      </c>
      <c r="L1316" s="52">
        <f t="shared" si="119"/>
        <v>0</v>
      </c>
    </row>
    <row r="1317" spans="3:12" s="78" customFormat="1" ht="30" customHeight="1">
      <c r="C1317" s="154" t="s">
        <v>132</v>
      </c>
      <c r="D1317" s="47" t="s">
        <v>295</v>
      </c>
      <c r="E1317" s="48" t="s">
        <v>975</v>
      </c>
      <c r="F1317" s="48" t="s">
        <v>378</v>
      </c>
      <c r="G1317" s="77">
        <v>11</v>
      </c>
      <c r="H1317" s="51">
        <v>0</v>
      </c>
      <c r="I1317" s="56">
        <v>0</v>
      </c>
      <c r="J1317" s="51">
        <v>0</v>
      </c>
      <c r="K1317" s="50">
        <f t="shared" si="118"/>
        <v>0</v>
      </c>
      <c r="L1317" s="52">
        <f t="shared" si="119"/>
        <v>0</v>
      </c>
    </row>
    <row r="1318" spans="3:12" s="78" customFormat="1" ht="30" customHeight="1">
      <c r="C1318" s="154" t="s">
        <v>133</v>
      </c>
      <c r="D1318" s="47" t="s">
        <v>626</v>
      </c>
      <c r="E1318" s="48" t="s">
        <v>975</v>
      </c>
      <c r="F1318" s="48" t="s">
        <v>26</v>
      </c>
      <c r="G1318" s="77">
        <v>10</v>
      </c>
      <c r="H1318" s="51">
        <v>0</v>
      </c>
      <c r="I1318" s="56">
        <v>0</v>
      </c>
      <c r="J1318" s="51">
        <v>0</v>
      </c>
      <c r="K1318" s="50">
        <f t="shared" si="118"/>
        <v>0</v>
      </c>
      <c r="L1318" s="52">
        <f t="shared" si="119"/>
        <v>0</v>
      </c>
    </row>
    <row r="1319" spans="3:12" s="78" customFormat="1" ht="30" customHeight="1">
      <c r="C1319" s="154" t="s">
        <v>134</v>
      </c>
      <c r="D1319" s="47" t="s">
        <v>706</v>
      </c>
      <c r="E1319" s="48" t="s">
        <v>975</v>
      </c>
      <c r="F1319" s="48" t="s">
        <v>378</v>
      </c>
      <c r="G1319" s="77">
        <v>3</v>
      </c>
      <c r="H1319" s="51">
        <v>0</v>
      </c>
      <c r="I1319" s="56">
        <v>0</v>
      </c>
      <c r="J1319" s="51">
        <v>0</v>
      </c>
      <c r="K1319" s="50">
        <f t="shared" si="118"/>
        <v>0</v>
      </c>
      <c r="L1319" s="52">
        <f t="shared" si="119"/>
        <v>0</v>
      </c>
    </row>
    <row r="1320" spans="3:12" s="78" customFormat="1" ht="30" customHeight="1">
      <c r="C1320" s="154" t="s">
        <v>135</v>
      </c>
      <c r="D1320" s="47" t="s">
        <v>696</v>
      </c>
      <c r="E1320" s="48" t="s">
        <v>975</v>
      </c>
      <c r="F1320" s="48" t="s">
        <v>378</v>
      </c>
      <c r="G1320" s="77">
        <v>79</v>
      </c>
      <c r="H1320" s="51">
        <v>0</v>
      </c>
      <c r="I1320" s="56">
        <v>0</v>
      </c>
      <c r="J1320" s="51">
        <v>0</v>
      </c>
      <c r="K1320" s="50">
        <f t="shared" si="118"/>
        <v>0</v>
      </c>
      <c r="L1320" s="52">
        <f t="shared" si="119"/>
        <v>0</v>
      </c>
    </row>
    <row r="1321" spans="3:12" s="53" customFormat="1" ht="30" customHeight="1">
      <c r="C1321" s="154" t="s">
        <v>136</v>
      </c>
      <c r="D1321" s="47" t="s">
        <v>635</v>
      </c>
      <c r="E1321" s="48" t="s">
        <v>975</v>
      </c>
      <c r="F1321" s="48" t="s">
        <v>378</v>
      </c>
      <c r="G1321" s="49">
        <v>6</v>
      </c>
      <c r="H1321" s="51">
        <v>0</v>
      </c>
      <c r="I1321" s="56">
        <v>0</v>
      </c>
      <c r="J1321" s="51">
        <v>0</v>
      </c>
      <c r="K1321" s="50">
        <f t="shared" si="118"/>
        <v>0</v>
      </c>
      <c r="L1321" s="52">
        <f t="shared" si="119"/>
        <v>0</v>
      </c>
    </row>
    <row r="1322" spans="3:12" s="78" customFormat="1" ht="30" customHeight="1">
      <c r="C1322" s="154" t="s">
        <v>137</v>
      </c>
      <c r="D1322" s="47" t="s">
        <v>627</v>
      </c>
      <c r="E1322" s="48" t="s">
        <v>975</v>
      </c>
      <c r="F1322" s="48" t="s">
        <v>378</v>
      </c>
      <c r="G1322" s="77">
        <v>51</v>
      </c>
      <c r="H1322" s="51">
        <v>0</v>
      </c>
      <c r="I1322" s="56">
        <v>0</v>
      </c>
      <c r="J1322" s="51">
        <v>0</v>
      </c>
      <c r="K1322" s="50">
        <f t="shared" si="118"/>
        <v>0</v>
      </c>
      <c r="L1322" s="52">
        <f t="shared" si="119"/>
        <v>0</v>
      </c>
    </row>
    <row r="1323" spans="3:12" s="78" customFormat="1" ht="30" customHeight="1">
      <c r="C1323" s="154" t="s">
        <v>138</v>
      </c>
      <c r="D1323" s="47" t="s">
        <v>162</v>
      </c>
      <c r="E1323" s="48" t="s">
        <v>975</v>
      </c>
      <c r="F1323" s="48" t="s">
        <v>378</v>
      </c>
      <c r="G1323" s="77">
        <v>51</v>
      </c>
      <c r="H1323" s="51">
        <v>0</v>
      </c>
      <c r="I1323" s="56">
        <v>0</v>
      </c>
      <c r="J1323" s="51">
        <v>0</v>
      </c>
      <c r="K1323" s="50">
        <f t="shared" si="118"/>
        <v>0</v>
      </c>
      <c r="L1323" s="52">
        <f t="shared" si="119"/>
        <v>0</v>
      </c>
    </row>
    <row r="1324" spans="3:12" s="78" customFormat="1" ht="30" customHeight="1">
      <c r="C1324" s="154" t="s">
        <v>181</v>
      </c>
      <c r="D1324" s="47" t="s">
        <v>628</v>
      </c>
      <c r="E1324" s="48" t="s">
        <v>975</v>
      </c>
      <c r="F1324" s="48" t="s">
        <v>378</v>
      </c>
      <c r="G1324" s="77">
        <v>140</v>
      </c>
      <c r="H1324" s="51">
        <v>0</v>
      </c>
      <c r="I1324" s="56">
        <v>0</v>
      </c>
      <c r="J1324" s="51">
        <v>0</v>
      </c>
      <c r="K1324" s="50">
        <f t="shared" si="118"/>
        <v>0</v>
      </c>
      <c r="L1324" s="52">
        <f t="shared" si="119"/>
        <v>0</v>
      </c>
    </row>
    <row r="1325" spans="3:12" s="78" customFormat="1" ht="30" customHeight="1">
      <c r="C1325" s="154" t="s">
        <v>182</v>
      </c>
      <c r="D1325" s="47" t="s">
        <v>629</v>
      </c>
      <c r="E1325" s="48" t="s">
        <v>975</v>
      </c>
      <c r="F1325" s="48" t="s">
        <v>378</v>
      </c>
      <c r="G1325" s="77">
        <v>191</v>
      </c>
      <c r="H1325" s="51">
        <v>0</v>
      </c>
      <c r="I1325" s="56">
        <v>0</v>
      </c>
      <c r="J1325" s="51">
        <v>0</v>
      </c>
      <c r="K1325" s="50">
        <f t="shared" si="118"/>
        <v>0</v>
      </c>
      <c r="L1325" s="52">
        <f t="shared" si="119"/>
        <v>0</v>
      </c>
    </row>
    <row r="1326" spans="3:12" s="78" customFormat="1" ht="30" customHeight="1">
      <c r="C1326" s="154" t="s">
        <v>183</v>
      </c>
      <c r="D1326" s="47" t="s">
        <v>630</v>
      </c>
      <c r="E1326" s="48" t="s">
        <v>975</v>
      </c>
      <c r="F1326" s="48" t="s">
        <v>378</v>
      </c>
      <c r="G1326" s="77">
        <v>10</v>
      </c>
      <c r="H1326" s="51">
        <v>0</v>
      </c>
      <c r="I1326" s="56">
        <v>0</v>
      </c>
      <c r="J1326" s="51">
        <v>0</v>
      </c>
      <c r="K1326" s="50">
        <f t="shared" si="118"/>
        <v>0</v>
      </c>
      <c r="L1326" s="52">
        <f t="shared" si="119"/>
        <v>0</v>
      </c>
    </row>
    <row r="1327" spans="3:12" s="78" customFormat="1" ht="30" customHeight="1">
      <c r="C1327" s="154" t="s">
        <v>184</v>
      </c>
      <c r="D1327" s="47" t="s">
        <v>634</v>
      </c>
      <c r="E1327" s="48" t="s">
        <v>975</v>
      </c>
      <c r="F1327" s="48" t="s">
        <v>378</v>
      </c>
      <c r="G1327" s="77">
        <v>178</v>
      </c>
      <c r="H1327" s="51">
        <v>0</v>
      </c>
      <c r="I1327" s="56">
        <v>0</v>
      </c>
      <c r="J1327" s="51">
        <v>0</v>
      </c>
      <c r="K1327" s="50">
        <f t="shared" si="118"/>
        <v>0</v>
      </c>
      <c r="L1327" s="52">
        <f t="shared" si="119"/>
        <v>0</v>
      </c>
    </row>
    <row r="1328" spans="3:12" s="78" customFormat="1" ht="30" customHeight="1">
      <c r="C1328" s="154" t="s">
        <v>185</v>
      </c>
      <c r="D1328" s="47" t="s">
        <v>296</v>
      </c>
      <c r="E1328" s="48" t="s">
        <v>975</v>
      </c>
      <c r="F1328" s="48" t="s">
        <v>378</v>
      </c>
      <c r="G1328" s="77">
        <v>138</v>
      </c>
      <c r="H1328" s="51">
        <v>0</v>
      </c>
      <c r="I1328" s="56">
        <v>0</v>
      </c>
      <c r="J1328" s="51">
        <v>0</v>
      </c>
      <c r="K1328" s="50">
        <f t="shared" si="118"/>
        <v>0</v>
      </c>
      <c r="L1328" s="52">
        <f t="shared" si="119"/>
        <v>0</v>
      </c>
    </row>
    <row r="1329" spans="3:12" s="78" customFormat="1" ht="30" customHeight="1">
      <c r="C1329" s="154" t="s">
        <v>186</v>
      </c>
      <c r="D1329" s="147" t="s">
        <v>633</v>
      </c>
      <c r="E1329" s="48" t="s">
        <v>975</v>
      </c>
      <c r="F1329" s="48" t="s">
        <v>378</v>
      </c>
      <c r="G1329" s="77">
        <v>140</v>
      </c>
      <c r="H1329" s="51">
        <v>0</v>
      </c>
      <c r="I1329" s="56">
        <v>0</v>
      </c>
      <c r="J1329" s="51">
        <v>0</v>
      </c>
      <c r="K1329" s="50">
        <f t="shared" si="118"/>
        <v>0</v>
      </c>
      <c r="L1329" s="52">
        <f t="shared" si="119"/>
        <v>0</v>
      </c>
    </row>
    <row r="1330" spans="3:12" s="78" customFormat="1" ht="30" customHeight="1">
      <c r="C1330" s="154" t="s">
        <v>187</v>
      </c>
      <c r="D1330" s="47" t="s">
        <v>631</v>
      </c>
      <c r="E1330" s="48" t="s">
        <v>975</v>
      </c>
      <c r="F1330" s="48" t="s">
        <v>378</v>
      </c>
      <c r="G1330" s="77">
        <v>54</v>
      </c>
      <c r="H1330" s="51">
        <v>0</v>
      </c>
      <c r="I1330" s="56">
        <v>0</v>
      </c>
      <c r="J1330" s="51">
        <v>0</v>
      </c>
      <c r="K1330" s="50">
        <f t="shared" si="118"/>
        <v>0</v>
      </c>
      <c r="L1330" s="52">
        <f t="shared" si="119"/>
        <v>0</v>
      </c>
    </row>
    <row r="1331" spans="3:12" s="78" customFormat="1" ht="30" customHeight="1">
      <c r="C1331" s="154" t="s">
        <v>188</v>
      </c>
      <c r="D1331" s="47" t="s">
        <v>632</v>
      </c>
      <c r="E1331" s="48" t="s">
        <v>975</v>
      </c>
      <c r="F1331" s="48" t="s">
        <v>378</v>
      </c>
      <c r="G1331" s="77">
        <v>18</v>
      </c>
      <c r="H1331" s="51">
        <v>0</v>
      </c>
      <c r="I1331" s="56">
        <v>0</v>
      </c>
      <c r="J1331" s="51">
        <v>0</v>
      </c>
      <c r="K1331" s="50">
        <f t="shared" si="118"/>
        <v>0</v>
      </c>
      <c r="L1331" s="52">
        <f t="shared" si="119"/>
        <v>0</v>
      </c>
    </row>
    <row r="1332" spans="3:12" s="78" customFormat="1" ht="30" customHeight="1">
      <c r="C1332" s="154" t="s">
        <v>189</v>
      </c>
      <c r="D1332" s="147" t="s">
        <v>698</v>
      </c>
      <c r="E1332" s="48" t="s">
        <v>975</v>
      </c>
      <c r="F1332" s="48" t="s">
        <v>378</v>
      </c>
      <c r="G1332" s="77">
        <v>18</v>
      </c>
      <c r="H1332" s="51">
        <v>0</v>
      </c>
      <c r="I1332" s="56">
        <v>0</v>
      </c>
      <c r="J1332" s="51">
        <v>0</v>
      </c>
      <c r="K1332" s="50">
        <f t="shared" si="118"/>
        <v>0</v>
      </c>
      <c r="L1332" s="52">
        <f t="shared" si="119"/>
        <v>0</v>
      </c>
    </row>
    <row r="1333" spans="3:12" s="78" customFormat="1" ht="30" customHeight="1">
      <c r="C1333" s="154" t="s">
        <v>190</v>
      </c>
      <c r="D1333" s="47" t="s">
        <v>122</v>
      </c>
      <c r="E1333" s="48" t="s">
        <v>975</v>
      </c>
      <c r="F1333" s="48" t="s">
        <v>378</v>
      </c>
      <c r="G1333" s="77">
        <v>1</v>
      </c>
      <c r="H1333" s="51">
        <v>0</v>
      </c>
      <c r="I1333" s="56">
        <v>0</v>
      </c>
      <c r="J1333" s="51">
        <v>0</v>
      </c>
      <c r="K1333" s="50">
        <f t="shared" si="118"/>
        <v>0</v>
      </c>
      <c r="L1333" s="52">
        <f t="shared" si="119"/>
        <v>0</v>
      </c>
    </row>
    <row r="1334" spans="3:12" s="53" customFormat="1" ht="30" customHeight="1">
      <c r="C1334" s="154" t="s">
        <v>191</v>
      </c>
      <c r="D1334" s="47" t="s">
        <v>697</v>
      </c>
      <c r="E1334" s="48" t="s">
        <v>975</v>
      </c>
      <c r="F1334" s="48" t="s">
        <v>378</v>
      </c>
      <c r="G1334" s="49">
        <v>6</v>
      </c>
      <c r="H1334" s="51">
        <v>0</v>
      </c>
      <c r="I1334" s="56">
        <v>0</v>
      </c>
      <c r="J1334" s="51">
        <v>0</v>
      </c>
      <c r="K1334" s="50">
        <f t="shared" si="118"/>
        <v>0</v>
      </c>
      <c r="L1334" s="52">
        <f t="shared" si="119"/>
        <v>0</v>
      </c>
    </row>
    <row r="1335" spans="3:12" s="53" customFormat="1" ht="30" customHeight="1">
      <c r="C1335" s="154" t="s">
        <v>192</v>
      </c>
      <c r="D1335" s="47" t="s">
        <v>335</v>
      </c>
      <c r="E1335" s="48" t="s">
        <v>975</v>
      </c>
      <c r="F1335" s="48" t="s">
        <v>378</v>
      </c>
      <c r="G1335" s="49">
        <v>24</v>
      </c>
      <c r="H1335" s="51">
        <v>0</v>
      </c>
      <c r="I1335" s="56">
        <v>0</v>
      </c>
      <c r="J1335" s="51">
        <v>0</v>
      </c>
      <c r="K1335" s="50">
        <f t="shared" si="118"/>
        <v>0</v>
      </c>
      <c r="L1335" s="52">
        <f t="shared" si="119"/>
        <v>0</v>
      </c>
    </row>
    <row r="1336" spans="3:12" s="53" customFormat="1" ht="30" customHeight="1">
      <c r="C1336" s="154" t="s">
        <v>193</v>
      </c>
      <c r="D1336" s="47" t="s">
        <v>699</v>
      </c>
      <c r="E1336" s="48" t="s">
        <v>423</v>
      </c>
      <c r="F1336" s="48" t="s">
        <v>378</v>
      </c>
      <c r="G1336" s="49">
        <v>10</v>
      </c>
      <c r="H1336" s="51">
        <v>0</v>
      </c>
      <c r="I1336" s="56">
        <v>0</v>
      </c>
      <c r="J1336" s="51">
        <v>0</v>
      </c>
      <c r="K1336" s="50">
        <f t="shared" si="118"/>
        <v>0</v>
      </c>
      <c r="L1336" s="52">
        <f t="shared" si="119"/>
        <v>0</v>
      </c>
    </row>
    <row r="1337" spans="3:12" s="53" customFormat="1" ht="30" customHeight="1">
      <c r="C1337" s="154" t="s">
        <v>194</v>
      </c>
      <c r="D1337" s="47" t="s">
        <v>2204</v>
      </c>
      <c r="E1337" s="48" t="s">
        <v>423</v>
      </c>
      <c r="F1337" s="48" t="s">
        <v>378</v>
      </c>
      <c r="G1337" s="49">
        <v>138</v>
      </c>
      <c r="H1337" s="51">
        <v>0</v>
      </c>
      <c r="I1337" s="56">
        <v>0</v>
      </c>
      <c r="J1337" s="51">
        <v>0</v>
      </c>
      <c r="K1337" s="50">
        <f t="shared" si="118"/>
        <v>0</v>
      </c>
      <c r="L1337" s="52">
        <f t="shared" si="119"/>
        <v>0</v>
      </c>
    </row>
    <row r="1338" spans="3:12" s="53" customFormat="1" ht="30" customHeight="1">
      <c r="C1338" s="154" t="s">
        <v>297</v>
      </c>
      <c r="D1338" s="47" t="s">
        <v>110</v>
      </c>
      <c r="E1338" s="48" t="s">
        <v>975</v>
      </c>
      <c r="F1338" s="48" t="s">
        <v>26</v>
      </c>
      <c r="G1338" s="49">
        <v>1</v>
      </c>
      <c r="H1338" s="51">
        <v>0</v>
      </c>
      <c r="I1338" s="56">
        <v>0</v>
      </c>
      <c r="J1338" s="51">
        <v>0</v>
      </c>
      <c r="K1338" s="50">
        <f t="shared" si="118"/>
        <v>0</v>
      </c>
      <c r="L1338" s="52">
        <f t="shared" si="119"/>
        <v>0</v>
      </c>
    </row>
    <row r="1339" spans="3:12" s="53" customFormat="1" ht="30" customHeight="1">
      <c r="C1339" s="154"/>
      <c r="D1339" s="174" t="s">
        <v>180</v>
      </c>
      <c r="E1339" s="79"/>
      <c r="F1339" s="48"/>
      <c r="G1339" s="49"/>
      <c r="H1339" s="51"/>
      <c r="I1339" s="56"/>
      <c r="J1339" s="51"/>
      <c r="K1339" s="50"/>
      <c r="L1339" s="52"/>
    </row>
    <row r="1340" spans="3:12" s="53" customFormat="1" ht="30" customHeight="1">
      <c r="C1340" s="154" t="s">
        <v>334</v>
      </c>
      <c r="D1340" s="47" t="s">
        <v>328</v>
      </c>
      <c r="E1340" s="48" t="s">
        <v>411</v>
      </c>
      <c r="F1340" s="76" t="s">
        <v>387</v>
      </c>
      <c r="G1340" s="49">
        <v>11000</v>
      </c>
      <c r="H1340" s="51">
        <v>0</v>
      </c>
      <c r="I1340" s="56">
        <v>0</v>
      </c>
      <c r="J1340" s="51">
        <v>0</v>
      </c>
      <c r="K1340" s="50">
        <f t="shared" si="118"/>
        <v>0</v>
      </c>
      <c r="L1340" s="52">
        <f t="shared" si="119"/>
        <v>0</v>
      </c>
    </row>
    <row r="1341" spans="3:12" s="53" customFormat="1" ht="30" customHeight="1">
      <c r="C1341" s="154" t="s">
        <v>389</v>
      </c>
      <c r="D1341" s="47" t="s">
        <v>446</v>
      </c>
      <c r="E1341" s="48" t="s">
        <v>411</v>
      </c>
      <c r="F1341" s="76" t="s">
        <v>387</v>
      </c>
      <c r="G1341" s="49">
        <v>2200</v>
      </c>
      <c r="H1341" s="51">
        <v>0</v>
      </c>
      <c r="I1341" s="56">
        <v>0</v>
      </c>
      <c r="J1341" s="51">
        <v>0</v>
      </c>
      <c r="K1341" s="50">
        <f t="shared" si="118"/>
        <v>0</v>
      </c>
      <c r="L1341" s="52">
        <f t="shared" si="119"/>
        <v>0</v>
      </c>
    </row>
    <row r="1342" spans="3:12" s="53" customFormat="1" ht="30" customHeight="1">
      <c r="C1342" s="154" t="s">
        <v>416</v>
      </c>
      <c r="D1342" s="47" t="s">
        <v>382</v>
      </c>
      <c r="E1342" s="48" t="s">
        <v>411</v>
      </c>
      <c r="F1342" s="76" t="s">
        <v>387</v>
      </c>
      <c r="G1342" s="49">
        <v>400</v>
      </c>
      <c r="H1342" s="51">
        <v>0</v>
      </c>
      <c r="I1342" s="56">
        <v>0</v>
      </c>
      <c r="J1342" s="51">
        <v>0</v>
      </c>
      <c r="K1342" s="50">
        <f t="shared" si="118"/>
        <v>0</v>
      </c>
      <c r="L1342" s="52">
        <f t="shared" si="119"/>
        <v>0</v>
      </c>
    </row>
    <row r="1343" spans="3:12" s="53" customFormat="1" ht="30" customHeight="1">
      <c r="C1343" s="154" t="s">
        <v>445</v>
      </c>
      <c r="D1343" s="47" t="s">
        <v>707</v>
      </c>
      <c r="E1343" s="48" t="s">
        <v>411</v>
      </c>
      <c r="F1343" s="76" t="s">
        <v>387</v>
      </c>
      <c r="G1343" s="49">
        <v>3500</v>
      </c>
      <c r="H1343" s="51">
        <v>0</v>
      </c>
      <c r="I1343" s="56">
        <v>0</v>
      </c>
      <c r="J1343" s="51">
        <v>0</v>
      </c>
      <c r="K1343" s="50">
        <f t="shared" si="118"/>
        <v>0</v>
      </c>
      <c r="L1343" s="52">
        <f t="shared" si="119"/>
        <v>0</v>
      </c>
    </row>
    <row r="1344" spans="3:12" s="53" customFormat="1" ht="30" customHeight="1">
      <c r="C1344" s="154" t="s">
        <v>686</v>
      </c>
      <c r="D1344" s="47" t="s">
        <v>708</v>
      </c>
      <c r="E1344" s="48" t="s">
        <v>411</v>
      </c>
      <c r="F1344" s="76" t="s">
        <v>387</v>
      </c>
      <c r="G1344" s="49">
        <v>2000</v>
      </c>
      <c r="H1344" s="51">
        <v>0</v>
      </c>
      <c r="I1344" s="56">
        <v>0</v>
      </c>
      <c r="J1344" s="51">
        <v>0</v>
      </c>
      <c r="K1344" s="50">
        <f t="shared" si="118"/>
        <v>0</v>
      </c>
      <c r="L1344" s="52">
        <f t="shared" si="119"/>
        <v>0</v>
      </c>
    </row>
    <row r="1345" spans="3:12" s="53" customFormat="1" ht="30" customHeight="1">
      <c r="C1345" s="154"/>
      <c r="D1345" s="47"/>
      <c r="E1345" s="48"/>
      <c r="F1345" s="76"/>
      <c r="G1345" s="49"/>
      <c r="H1345" s="51"/>
      <c r="I1345" s="56"/>
      <c r="J1345" s="51"/>
      <c r="K1345" s="50"/>
      <c r="L1345" s="52"/>
    </row>
    <row r="1346" spans="3:12" ht="31.5" customHeight="1">
      <c r="C1346" s="62"/>
      <c r="D1346" s="63" t="s">
        <v>732</v>
      </c>
      <c r="E1346" s="64"/>
      <c r="F1346" s="65"/>
      <c r="G1346" s="66"/>
      <c r="H1346" s="67">
        <f>SUMPRODUCT(G1308:G1344,H1308:H1344)</f>
        <v>0</v>
      </c>
      <c r="I1346" s="67">
        <f>SUMPRODUCT(G1308:G1344,I1308:I1344)</f>
        <v>0</v>
      </c>
      <c r="J1346" s="67">
        <f>SUMPRODUCT(G1308:G1344,J1308:J1344)</f>
        <v>0</v>
      </c>
      <c r="K1346" s="68"/>
      <c r="L1346" s="69">
        <f>SUM(L1308:L1344)</f>
        <v>0</v>
      </c>
    </row>
    <row r="1347" spans="3:12">
      <c r="C1347" s="94"/>
      <c r="D1347" s="95"/>
      <c r="E1347" s="96"/>
      <c r="F1347" s="97"/>
      <c r="G1347" s="98"/>
      <c r="H1347" s="99"/>
      <c r="I1347" s="102"/>
      <c r="J1347" s="102"/>
      <c r="K1347" s="100"/>
      <c r="L1347" s="101"/>
    </row>
    <row r="1348" spans="3:12" ht="30" customHeight="1">
      <c r="C1348" s="25" t="s">
        <v>16</v>
      </c>
      <c r="D1348" s="26" t="s">
        <v>123</v>
      </c>
      <c r="E1348" s="27"/>
      <c r="F1348" s="28"/>
      <c r="G1348" s="29"/>
      <c r="H1348" s="30"/>
      <c r="I1348" s="31"/>
      <c r="J1348" s="31"/>
      <c r="K1348" s="32"/>
      <c r="L1348" s="33"/>
    </row>
    <row r="1349" spans="3:12">
      <c r="C1349" s="150"/>
      <c r="D1349" s="151" t="s">
        <v>124</v>
      </c>
      <c r="E1349" s="79"/>
      <c r="F1349" s="80"/>
      <c r="G1349" s="81"/>
      <c r="H1349" s="72"/>
      <c r="I1349" s="73"/>
      <c r="J1349" s="73"/>
      <c r="K1349" s="74"/>
      <c r="L1349" s="75"/>
    </row>
    <row r="1350" spans="3:12" s="34" customFormat="1" ht="77.25" customHeight="1">
      <c r="C1350" s="150"/>
      <c r="D1350" s="151" t="s">
        <v>125</v>
      </c>
      <c r="E1350" s="79"/>
      <c r="F1350" s="80"/>
      <c r="G1350" s="81"/>
      <c r="H1350" s="72"/>
      <c r="I1350" s="73"/>
      <c r="J1350" s="73"/>
      <c r="K1350" s="74"/>
      <c r="L1350" s="75"/>
    </row>
    <row r="1351" spans="3:12" s="53" customFormat="1" ht="35.450000000000003" customHeight="1">
      <c r="C1351" s="154" t="s">
        <v>140</v>
      </c>
      <c r="D1351" s="147" t="s">
        <v>638</v>
      </c>
      <c r="E1351" s="61" t="s">
        <v>428</v>
      </c>
      <c r="F1351" s="48" t="s">
        <v>378</v>
      </c>
      <c r="G1351" s="49">
        <v>1</v>
      </c>
      <c r="H1351" s="51">
        <v>0</v>
      </c>
      <c r="I1351" s="56">
        <v>0</v>
      </c>
      <c r="J1351" s="51">
        <v>0</v>
      </c>
      <c r="K1351" s="50">
        <f>+H1351+I1351+J1351</f>
        <v>0</v>
      </c>
      <c r="L1351" s="52">
        <f>+K1351*G1351</f>
        <v>0</v>
      </c>
    </row>
    <row r="1352" spans="3:12" s="53" customFormat="1" ht="35.450000000000003" customHeight="1">
      <c r="C1352" s="154" t="s">
        <v>141</v>
      </c>
      <c r="D1352" s="147" t="s">
        <v>639</v>
      </c>
      <c r="E1352" s="61" t="s">
        <v>428</v>
      </c>
      <c r="F1352" s="48" t="s">
        <v>378</v>
      </c>
      <c r="G1352" s="49">
        <v>1</v>
      </c>
      <c r="H1352" s="51">
        <v>0</v>
      </c>
      <c r="I1352" s="56">
        <v>0</v>
      </c>
      <c r="J1352" s="51">
        <v>0</v>
      </c>
      <c r="K1352" s="50">
        <f t="shared" ref="K1352:K1371" si="120">+H1352+I1352+J1352</f>
        <v>0</v>
      </c>
      <c r="L1352" s="52">
        <f t="shared" ref="L1352:L1371" si="121">+K1352*G1352</f>
        <v>0</v>
      </c>
    </row>
    <row r="1353" spans="3:12" s="53" customFormat="1" ht="35.450000000000003" customHeight="1">
      <c r="C1353" s="154" t="s">
        <v>142</v>
      </c>
      <c r="D1353" s="147" t="s">
        <v>640</v>
      </c>
      <c r="E1353" s="61" t="s">
        <v>428</v>
      </c>
      <c r="F1353" s="48" t="s">
        <v>378</v>
      </c>
      <c r="G1353" s="49">
        <v>1</v>
      </c>
      <c r="H1353" s="51">
        <v>0</v>
      </c>
      <c r="I1353" s="56">
        <v>0</v>
      </c>
      <c r="J1353" s="51">
        <v>0</v>
      </c>
      <c r="K1353" s="50">
        <f t="shared" si="120"/>
        <v>0</v>
      </c>
      <c r="L1353" s="52">
        <f t="shared" si="121"/>
        <v>0</v>
      </c>
    </row>
    <row r="1354" spans="3:12" s="53" customFormat="1" ht="35.450000000000003" customHeight="1">
      <c r="C1354" s="154" t="s">
        <v>143</v>
      </c>
      <c r="D1354" s="147" t="s">
        <v>641</v>
      </c>
      <c r="E1354" s="61" t="s">
        <v>428</v>
      </c>
      <c r="F1354" s="48" t="s">
        <v>378</v>
      </c>
      <c r="G1354" s="49">
        <v>1</v>
      </c>
      <c r="H1354" s="51">
        <v>0</v>
      </c>
      <c r="I1354" s="56">
        <v>0</v>
      </c>
      <c r="J1354" s="51">
        <v>0</v>
      </c>
      <c r="K1354" s="50">
        <f t="shared" si="120"/>
        <v>0</v>
      </c>
      <c r="L1354" s="52">
        <f t="shared" si="121"/>
        <v>0</v>
      </c>
    </row>
    <row r="1355" spans="3:12" s="53" customFormat="1" ht="35.450000000000003" customHeight="1">
      <c r="C1355" s="154" t="s">
        <v>144</v>
      </c>
      <c r="D1355" s="147" t="s">
        <v>642</v>
      </c>
      <c r="E1355" s="61" t="s">
        <v>428</v>
      </c>
      <c r="F1355" s="48" t="s">
        <v>378</v>
      </c>
      <c r="G1355" s="49">
        <v>2</v>
      </c>
      <c r="H1355" s="51">
        <v>0</v>
      </c>
      <c r="I1355" s="56">
        <v>0</v>
      </c>
      <c r="J1355" s="51">
        <v>0</v>
      </c>
      <c r="K1355" s="50">
        <f t="shared" si="120"/>
        <v>0</v>
      </c>
      <c r="L1355" s="52">
        <f t="shared" si="121"/>
        <v>0</v>
      </c>
    </row>
    <row r="1356" spans="3:12" s="53" customFormat="1" ht="35.450000000000003" customHeight="1">
      <c r="C1356" s="154" t="s">
        <v>145</v>
      </c>
      <c r="D1356" s="147" t="s">
        <v>644</v>
      </c>
      <c r="E1356" s="61" t="s">
        <v>428</v>
      </c>
      <c r="F1356" s="48" t="s">
        <v>378</v>
      </c>
      <c r="G1356" s="49">
        <v>1</v>
      </c>
      <c r="H1356" s="51">
        <v>0</v>
      </c>
      <c r="I1356" s="56">
        <v>0</v>
      </c>
      <c r="J1356" s="51">
        <v>0</v>
      </c>
      <c r="K1356" s="50">
        <f t="shared" si="120"/>
        <v>0</v>
      </c>
      <c r="L1356" s="52">
        <f t="shared" si="121"/>
        <v>0</v>
      </c>
    </row>
    <row r="1357" spans="3:12" s="53" customFormat="1" ht="35.450000000000003" customHeight="1">
      <c r="C1357" s="154" t="s">
        <v>146</v>
      </c>
      <c r="D1357" s="147" t="s">
        <v>643</v>
      </c>
      <c r="E1357" s="61" t="s">
        <v>428</v>
      </c>
      <c r="F1357" s="48" t="s">
        <v>378</v>
      </c>
      <c r="G1357" s="49">
        <v>1</v>
      </c>
      <c r="H1357" s="51">
        <v>0</v>
      </c>
      <c r="I1357" s="56">
        <v>0</v>
      </c>
      <c r="J1357" s="51">
        <v>0</v>
      </c>
      <c r="K1357" s="50">
        <f t="shared" si="120"/>
        <v>0</v>
      </c>
      <c r="L1357" s="52">
        <f t="shared" si="121"/>
        <v>0</v>
      </c>
    </row>
    <row r="1358" spans="3:12" s="53" customFormat="1" ht="35.450000000000003" customHeight="1">
      <c r="C1358" s="154" t="s">
        <v>147</v>
      </c>
      <c r="D1358" s="147" t="s">
        <v>637</v>
      </c>
      <c r="E1358" s="61" t="s">
        <v>428</v>
      </c>
      <c r="F1358" s="48" t="s">
        <v>378</v>
      </c>
      <c r="G1358" s="49">
        <v>2</v>
      </c>
      <c r="H1358" s="51">
        <v>0</v>
      </c>
      <c r="I1358" s="56">
        <v>0</v>
      </c>
      <c r="J1358" s="51">
        <v>0</v>
      </c>
      <c r="K1358" s="50">
        <f t="shared" si="120"/>
        <v>0</v>
      </c>
      <c r="L1358" s="52">
        <f t="shared" si="121"/>
        <v>0</v>
      </c>
    </row>
    <row r="1359" spans="3:12" s="78" customFormat="1" ht="35.450000000000003" customHeight="1">
      <c r="C1359" s="154" t="s">
        <v>195</v>
      </c>
      <c r="D1359" s="153" t="s">
        <v>972</v>
      </c>
      <c r="E1359" s="61" t="s">
        <v>428</v>
      </c>
      <c r="F1359" s="48" t="s">
        <v>378</v>
      </c>
      <c r="G1359" s="77">
        <v>70</v>
      </c>
      <c r="H1359" s="51">
        <v>0</v>
      </c>
      <c r="I1359" s="56">
        <v>0</v>
      </c>
      <c r="J1359" s="51">
        <v>0</v>
      </c>
      <c r="K1359" s="50">
        <f t="shared" si="120"/>
        <v>0</v>
      </c>
      <c r="L1359" s="52">
        <f t="shared" si="121"/>
        <v>0</v>
      </c>
    </row>
    <row r="1360" spans="3:12" s="78" customFormat="1" ht="35.450000000000003" customHeight="1">
      <c r="C1360" s="154" t="s">
        <v>196</v>
      </c>
      <c r="D1360" s="153" t="s">
        <v>973</v>
      </c>
      <c r="E1360" s="61" t="s">
        <v>428</v>
      </c>
      <c r="F1360" s="48" t="s">
        <v>378</v>
      </c>
      <c r="G1360" s="77">
        <v>1</v>
      </c>
      <c r="H1360" s="51">
        <v>0</v>
      </c>
      <c r="I1360" s="56">
        <v>0</v>
      </c>
      <c r="J1360" s="51">
        <v>0</v>
      </c>
      <c r="K1360" s="50">
        <f t="shared" si="120"/>
        <v>0</v>
      </c>
      <c r="L1360" s="52">
        <f t="shared" si="121"/>
        <v>0</v>
      </c>
    </row>
    <row r="1361" spans="3:12" s="78" customFormat="1" ht="35.450000000000003" customHeight="1">
      <c r="C1361" s="154" t="s">
        <v>197</v>
      </c>
      <c r="D1361" s="158" t="s">
        <v>974</v>
      </c>
      <c r="E1361" s="61" t="s">
        <v>428</v>
      </c>
      <c r="F1361" s="48" t="s">
        <v>378</v>
      </c>
      <c r="G1361" s="77">
        <v>1</v>
      </c>
      <c r="H1361" s="51">
        <v>0</v>
      </c>
      <c r="I1361" s="56">
        <v>0</v>
      </c>
      <c r="J1361" s="51">
        <v>0</v>
      </c>
      <c r="K1361" s="50">
        <f t="shared" si="120"/>
        <v>0</v>
      </c>
      <c r="L1361" s="52">
        <f t="shared" si="121"/>
        <v>0</v>
      </c>
    </row>
    <row r="1362" spans="3:12" s="53" customFormat="1" ht="35.450000000000003" customHeight="1">
      <c r="C1362" s="154"/>
      <c r="D1362" s="151" t="s">
        <v>97</v>
      </c>
      <c r="E1362" s="79"/>
      <c r="F1362" s="48"/>
      <c r="G1362" s="49"/>
      <c r="H1362" s="51"/>
      <c r="I1362" s="56"/>
      <c r="J1362" s="51"/>
      <c r="K1362" s="50"/>
      <c r="L1362" s="52"/>
    </row>
    <row r="1363" spans="3:12" s="53" customFormat="1" ht="35.450000000000003" customHeight="1">
      <c r="C1363" s="154" t="s">
        <v>198</v>
      </c>
      <c r="D1363" s="47" t="s">
        <v>636</v>
      </c>
      <c r="E1363" s="48" t="s">
        <v>371</v>
      </c>
      <c r="F1363" s="48" t="s">
        <v>378</v>
      </c>
      <c r="G1363" s="49">
        <v>1</v>
      </c>
      <c r="H1363" s="51">
        <v>0</v>
      </c>
      <c r="I1363" s="56">
        <v>0</v>
      </c>
      <c r="J1363" s="51">
        <v>0</v>
      </c>
      <c r="K1363" s="50">
        <f t="shared" si="120"/>
        <v>0</v>
      </c>
      <c r="L1363" s="52">
        <f t="shared" si="121"/>
        <v>0</v>
      </c>
    </row>
    <row r="1364" spans="3:12" s="53" customFormat="1" ht="35.450000000000003" customHeight="1">
      <c r="C1364" s="154" t="s">
        <v>199</v>
      </c>
      <c r="D1364" s="47" t="s">
        <v>101</v>
      </c>
      <c r="E1364" s="48" t="s">
        <v>371</v>
      </c>
      <c r="F1364" s="48" t="s">
        <v>378</v>
      </c>
      <c r="G1364" s="49">
        <v>1</v>
      </c>
      <c r="H1364" s="51">
        <v>0</v>
      </c>
      <c r="I1364" s="56">
        <v>0</v>
      </c>
      <c r="J1364" s="51">
        <v>0</v>
      </c>
      <c r="K1364" s="50">
        <f t="shared" si="120"/>
        <v>0</v>
      </c>
      <c r="L1364" s="52">
        <f t="shared" si="121"/>
        <v>0</v>
      </c>
    </row>
    <row r="1365" spans="3:12" s="53" customFormat="1" ht="35.450000000000003" customHeight="1">
      <c r="C1365" s="154" t="s">
        <v>200</v>
      </c>
      <c r="D1365" s="47" t="s">
        <v>103</v>
      </c>
      <c r="E1365" s="48" t="s">
        <v>371</v>
      </c>
      <c r="F1365" s="48" t="s">
        <v>378</v>
      </c>
      <c r="G1365" s="49">
        <v>1</v>
      </c>
      <c r="H1365" s="51">
        <v>0</v>
      </c>
      <c r="I1365" s="56">
        <v>0</v>
      </c>
      <c r="J1365" s="51">
        <v>0</v>
      </c>
      <c r="K1365" s="50">
        <f t="shared" si="120"/>
        <v>0</v>
      </c>
      <c r="L1365" s="52">
        <f t="shared" si="121"/>
        <v>0</v>
      </c>
    </row>
    <row r="1366" spans="3:12" s="53" customFormat="1" ht="35.450000000000003" customHeight="1">
      <c r="C1366" s="154" t="s">
        <v>201</v>
      </c>
      <c r="D1366" s="47" t="s">
        <v>927</v>
      </c>
      <c r="E1366" s="48" t="s">
        <v>371</v>
      </c>
      <c r="F1366" s="48" t="s">
        <v>378</v>
      </c>
      <c r="G1366" s="49">
        <v>1</v>
      </c>
      <c r="H1366" s="51">
        <v>0</v>
      </c>
      <c r="I1366" s="56">
        <v>0</v>
      </c>
      <c r="J1366" s="51">
        <v>0</v>
      </c>
      <c r="K1366" s="50">
        <f t="shared" si="120"/>
        <v>0</v>
      </c>
      <c r="L1366" s="52">
        <f t="shared" si="121"/>
        <v>0</v>
      </c>
    </row>
    <row r="1367" spans="3:12" s="53" customFormat="1" ht="35.450000000000003" customHeight="1">
      <c r="C1367" s="154" t="s">
        <v>202</v>
      </c>
      <c r="D1367" s="47" t="s">
        <v>695</v>
      </c>
      <c r="E1367" s="48" t="s">
        <v>371</v>
      </c>
      <c r="F1367" s="48" t="s">
        <v>378</v>
      </c>
      <c r="G1367" s="49">
        <v>1</v>
      </c>
      <c r="H1367" s="51">
        <v>0</v>
      </c>
      <c r="I1367" s="56">
        <v>0</v>
      </c>
      <c r="J1367" s="51">
        <v>0</v>
      </c>
      <c r="K1367" s="50">
        <f t="shared" si="120"/>
        <v>0</v>
      </c>
      <c r="L1367" s="52">
        <f t="shared" si="121"/>
        <v>0</v>
      </c>
    </row>
    <row r="1368" spans="3:12" s="53" customFormat="1" ht="35.450000000000003" customHeight="1">
      <c r="C1368" s="154" t="s">
        <v>298</v>
      </c>
      <c r="D1368" s="47" t="s">
        <v>108</v>
      </c>
      <c r="E1368" s="48" t="s">
        <v>371</v>
      </c>
      <c r="F1368" s="48" t="s">
        <v>378</v>
      </c>
      <c r="G1368" s="49">
        <v>1</v>
      </c>
      <c r="H1368" s="51">
        <v>0</v>
      </c>
      <c r="I1368" s="56">
        <v>0</v>
      </c>
      <c r="J1368" s="51">
        <v>0</v>
      </c>
      <c r="K1368" s="50">
        <f t="shared" si="120"/>
        <v>0</v>
      </c>
      <c r="L1368" s="52">
        <f t="shared" si="121"/>
        <v>0</v>
      </c>
    </row>
    <row r="1369" spans="3:12" s="119" customFormat="1" ht="35.450000000000003" customHeight="1">
      <c r="C1369" s="154"/>
      <c r="D1369" s="174" t="s">
        <v>180</v>
      </c>
      <c r="E1369" s="79"/>
      <c r="F1369" s="80"/>
      <c r="G1369" s="165"/>
      <c r="H1369" s="51"/>
      <c r="I1369" s="56"/>
      <c r="J1369" s="51"/>
      <c r="K1369" s="50"/>
      <c r="L1369" s="52"/>
    </row>
    <row r="1370" spans="3:12" s="78" customFormat="1" ht="35.450000000000003" customHeight="1">
      <c r="C1370" s="152" t="s">
        <v>299</v>
      </c>
      <c r="D1370" s="153" t="s">
        <v>709</v>
      </c>
      <c r="E1370" s="48" t="s">
        <v>411</v>
      </c>
      <c r="F1370" s="76" t="s">
        <v>387</v>
      </c>
      <c r="G1370" s="77">
        <v>5200</v>
      </c>
      <c r="H1370" s="51">
        <v>0</v>
      </c>
      <c r="I1370" s="56">
        <v>0</v>
      </c>
      <c r="J1370" s="51">
        <v>0</v>
      </c>
      <c r="K1370" s="50">
        <f t="shared" si="120"/>
        <v>0</v>
      </c>
      <c r="L1370" s="52">
        <f t="shared" si="121"/>
        <v>0</v>
      </c>
    </row>
    <row r="1371" spans="3:12" s="119" customFormat="1" ht="35.450000000000003" customHeight="1">
      <c r="C1371" s="152" t="s">
        <v>300</v>
      </c>
      <c r="D1371" s="167" t="s">
        <v>110</v>
      </c>
      <c r="E1371" s="61" t="s">
        <v>848</v>
      </c>
      <c r="F1371" s="48" t="s">
        <v>26</v>
      </c>
      <c r="G1371" s="165">
        <v>1</v>
      </c>
      <c r="H1371" s="51">
        <v>0</v>
      </c>
      <c r="I1371" s="56">
        <v>0</v>
      </c>
      <c r="J1371" s="51">
        <v>0</v>
      </c>
      <c r="K1371" s="50">
        <f t="shared" si="120"/>
        <v>0</v>
      </c>
      <c r="L1371" s="52">
        <f t="shared" si="121"/>
        <v>0</v>
      </c>
    </row>
    <row r="1372" spans="3:12" s="119" customFormat="1" ht="35.450000000000003" customHeight="1">
      <c r="C1372" s="152"/>
      <c r="D1372" s="167"/>
      <c r="E1372" s="61"/>
      <c r="F1372" s="48"/>
      <c r="G1372" s="165"/>
      <c r="H1372" s="51"/>
      <c r="I1372" s="56"/>
      <c r="J1372" s="51"/>
      <c r="K1372" s="50"/>
      <c r="L1372" s="52"/>
    </row>
    <row r="1373" spans="3:12" ht="39.950000000000003" customHeight="1">
      <c r="C1373" s="62"/>
      <c r="D1373" s="63" t="s">
        <v>733</v>
      </c>
      <c r="E1373" s="64"/>
      <c r="F1373" s="65"/>
      <c r="G1373" s="66"/>
      <c r="H1373" s="67">
        <f>SUMPRODUCT(G1351:G1371,H1351:H1371)</f>
        <v>0</v>
      </c>
      <c r="I1373" s="67">
        <f>SUMPRODUCT(G1351:G1371,I1351:I1371)</f>
        <v>0</v>
      </c>
      <c r="J1373" s="67">
        <f>SUMPRODUCT(G1351:G1371,J1351:J1371)</f>
        <v>0</v>
      </c>
      <c r="K1373" s="68"/>
      <c r="L1373" s="69">
        <f>SUM(L1351:L1371)</f>
        <v>0</v>
      </c>
    </row>
    <row r="1374" spans="3:12">
      <c r="C1374" s="94"/>
      <c r="D1374" s="95"/>
      <c r="E1374" s="96"/>
      <c r="F1374" s="97"/>
      <c r="G1374" s="98"/>
      <c r="H1374" s="99"/>
      <c r="I1374" s="102"/>
      <c r="J1374" s="102"/>
      <c r="K1374" s="100"/>
      <c r="L1374" s="101"/>
    </row>
    <row r="1375" spans="3:12" ht="30" customHeight="1">
      <c r="C1375" s="25" t="s">
        <v>17</v>
      </c>
      <c r="D1375" s="26" t="s">
        <v>139</v>
      </c>
      <c r="E1375" s="27"/>
      <c r="F1375" s="28"/>
      <c r="G1375" s="29"/>
      <c r="H1375" s="30"/>
      <c r="I1375" s="31"/>
      <c r="J1375" s="31"/>
      <c r="K1375" s="32"/>
      <c r="L1375" s="33"/>
    </row>
    <row r="1376" spans="3:12" s="53" customFormat="1" ht="169.15" customHeight="1">
      <c r="C1376" s="154" t="s">
        <v>60</v>
      </c>
      <c r="D1376" s="147" t="s">
        <v>645</v>
      </c>
      <c r="E1376" s="61" t="s">
        <v>394</v>
      </c>
      <c r="F1376" s="48" t="s">
        <v>378</v>
      </c>
      <c r="G1376" s="49">
        <v>69</v>
      </c>
      <c r="H1376" s="51">
        <v>0</v>
      </c>
      <c r="I1376" s="56">
        <v>0</v>
      </c>
      <c r="J1376" s="51">
        <v>0</v>
      </c>
      <c r="K1376" s="50">
        <f>+H1376+I1376+J1376</f>
        <v>0</v>
      </c>
      <c r="L1376" s="52">
        <f>+K1376*G1376</f>
        <v>0</v>
      </c>
    </row>
    <row r="1377" spans="3:12" s="53" customFormat="1" ht="120" customHeight="1">
      <c r="C1377" s="154" t="s">
        <v>61</v>
      </c>
      <c r="D1377" s="147" t="s">
        <v>646</v>
      </c>
      <c r="E1377" s="61" t="s">
        <v>394</v>
      </c>
      <c r="F1377" s="48" t="s">
        <v>378</v>
      </c>
      <c r="G1377" s="49">
        <v>1</v>
      </c>
      <c r="H1377" s="51">
        <v>0</v>
      </c>
      <c r="I1377" s="56">
        <v>0</v>
      </c>
      <c r="J1377" s="51">
        <v>0</v>
      </c>
      <c r="K1377" s="50">
        <f t="shared" ref="K1377:K1393" si="122">+H1377+I1377+J1377</f>
        <v>0</v>
      </c>
      <c r="L1377" s="52">
        <f t="shared" ref="L1377:L1393" si="123">+K1377*G1377</f>
        <v>0</v>
      </c>
    </row>
    <row r="1378" spans="3:12" s="53" customFormat="1" ht="153.6" customHeight="1">
      <c r="C1378" s="154" t="s">
        <v>62</v>
      </c>
      <c r="D1378" s="147" t="s">
        <v>647</v>
      </c>
      <c r="E1378" s="61" t="s">
        <v>394</v>
      </c>
      <c r="F1378" s="48" t="s">
        <v>378</v>
      </c>
      <c r="G1378" s="49">
        <v>1</v>
      </c>
      <c r="H1378" s="51">
        <v>0</v>
      </c>
      <c r="I1378" s="56">
        <v>0</v>
      </c>
      <c r="J1378" s="51">
        <v>0</v>
      </c>
      <c r="K1378" s="50">
        <f t="shared" si="122"/>
        <v>0</v>
      </c>
      <c r="L1378" s="52">
        <f t="shared" si="123"/>
        <v>0</v>
      </c>
    </row>
    <row r="1379" spans="3:12" s="53" customFormat="1" ht="27.75" customHeight="1">
      <c r="C1379" s="154" t="s">
        <v>63</v>
      </c>
      <c r="D1379" s="147" t="s">
        <v>440</v>
      </c>
      <c r="E1379" s="61" t="s">
        <v>369</v>
      </c>
      <c r="F1379" s="48" t="s">
        <v>378</v>
      </c>
      <c r="G1379" s="49">
        <v>16</v>
      </c>
      <c r="H1379" s="51">
        <v>0</v>
      </c>
      <c r="I1379" s="56">
        <v>0</v>
      </c>
      <c r="J1379" s="51">
        <v>0</v>
      </c>
      <c r="K1379" s="50">
        <f t="shared" si="122"/>
        <v>0</v>
      </c>
      <c r="L1379" s="52">
        <f t="shared" si="123"/>
        <v>0</v>
      </c>
    </row>
    <row r="1380" spans="3:12" s="53" customFormat="1" ht="48" customHeight="1">
      <c r="C1380" s="154" t="s">
        <v>64</v>
      </c>
      <c r="D1380" s="147" t="s">
        <v>946</v>
      </c>
      <c r="E1380" s="61" t="s">
        <v>370</v>
      </c>
      <c r="F1380" s="48" t="s">
        <v>378</v>
      </c>
      <c r="G1380" s="49">
        <v>1</v>
      </c>
      <c r="H1380" s="51">
        <v>0</v>
      </c>
      <c r="I1380" s="56">
        <v>0</v>
      </c>
      <c r="J1380" s="51">
        <v>0</v>
      </c>
      <c r="K1380" s="50">
        <f t="shared" si="122"/>
        <v>0</v>
      </c>
      <c r="L1380" s="52">
        <f t="shared" si="123"/>
        <v>0</v>
      </c>
    </row>
    <row r="1381" spans="3:12" s="53" customFormat="1" ht="48" customHeight="1">
      <c r="C1381" s="154" t="s">
        <v>65</v>
      </c>
      <c r="D1381" s="147" t="s">
        <v>852</v>
      </c>
      <c r="E1381" s="61" t="s">
        <v>851</v>
      </c>
      <c r="F1381" s="48" t="s">
        <v>378</v>
      </c>
      <c r="G1381" s="49">
        <v>69</v>
      </c>
      <c r="H1381" s="51">
        <v>0</v>
      </c>
      <c r="I1381" s="56">
        <v>0</v>
      </c>
      <c r="J1381" s="51">
        <v>0</v>
      </c>
      <c r="K1381" s="50">
        <f t="shared" si="122"/>
        <v>0</v>
      </c>
      <c r="L1381" s="52">
        <f t="shared" si="123"/>
        <v>0</v>
      </c>
    </row>
    <row r="1382" spans="3:12" s="53" customFormat="1" ht="48" customHeight="1">
      <c r="C1382" s="154" t="s">
        <v>66</v>
      </c>
      <c r="D1382" s="47" t="s">
        <v>944</v>
      </c>
      <c r="E1382" s="61" t="s">
        <v>853</v>
      </c>
      <c r="F1382" s="48" t="s">
        <v>378</v>
      </c>
      <c r="G1382" s="49">
        <v>1</v>
      </c>
      <c r="H1382" s="51">
        <v>0</v>
      </c>
      <c r="I1382" s="56">
        <v>0</v>
      </c>
      <c r="J1382" s="51">
        <v>0</v>
      </c>
      <c r="K1382" s="50">
        <f t="shared" si="122"/>
        <v>0</v>
      </c>
      <c r="L1382" s="52">
        <f t="shared" si="123"/>
        <v>0</v>
      </c>
    </row>
    <row r="1383" spans="3:12" s="53" customFormat="1" ht="35.450000000000003" customHeight="1">
      <c r="C1383" s="154" t="s">
        <v>67</v>
      </c>
      <c r="D1383" s="47" t="s">
        <v>945</v>
      </c>
      <c r="E1383" s="61" t="s">
        <v>394</v>
      </c>
      <c r="F1383" s="48" t="s">
        <v>378</v>
      </c>
      <c r="G1383" s="49">
        <v>3</v>
      </c>
      <c r="H1383" s="51">
        <v>0</v>
      </c>
      <c r="I1383" s="56">
        <v>0</v>
      </c>
      <c r="J1383" s="51">
        <v>0</v>
      </c>
      <c r="K1383" s="50">
        <f t="shared" si="122"/>
        <v>0</v>
      </c>
      <c r="L1383" s="52">
        <f t="shared" si="123"/>
        <v>0</v>
      </c>
    </row>
    <row r="1384" spans="3:12" s="53" customFormat="1" ht="35.450000000000003" customHeight="1">
      <c r="C1384" s="154" t="s">
        <v>684</v>
      </c>
      <c r="D1384" s="47" t="s">
        <v>955</v>
      </c>
      <c r="E1384" s="48" t="s">
        <v>372</v>
      </c>
      <c r="F1384" s="48" t="s">
        <v>378</v>
      </c>
      <c r="G1384" s="49">
        <v>2</v>
      </c>
      <c r="H1384" s="51">
        <v>0</v>
      </c>
      <c r="I1384" s="56">
        <v>0</v>
      </c>
      <c r="J1384" s="51">
        <v>0</v>
      </c>
      <c r="K1384" s="50">
        <f t="shared" si="122"/>
        <v>0</v>
      </c>
      <c r="L1384" s="52">
        <f t="shared" si="123"/>
        <v>0</v>
      </c>
    </row>
    <row r="1385" spans="3:12" s="53" customFormat="1" ht="35.450000000000003" customHeight="1">
      <c r="C1385" s="154"/>
      <c r="D1385" s="151" t="s">
        <v>97</v>
      </c>
      <c r="E1385" s="79"/>
      <c r="F1385" s="48"/>
      <c r="G1385" s="49"/>
      <c r="H1385" s="51"/>
      <c r="I1385" s="56"/>
      <c r="J1385" s="51"/>
      <c r="K1385" s="50"/>
      <c r="L1385" s="52"/>
    </row>
    <row r="1386" spans="3:12" s="53" customFormat="1" ht="35.450000000000003" customHeight="1">
      <c r="C1386" s="154" t="s">
        <v>311</v>
      </c>
      <c r="D1386" s="47" t="s">
        <v>441</v>
      </c>
      <c r="E1386" s="48" t="s">
        <v>371</v>
      </c>
      <c r="F1386" s="48" t="s">
        <v>378</v>
      </c>
      <c r="G1386" s="49">
        <v>1</v>
      </c>
      <c r="H1386" s="51">
        <v>0</v>
      </c>
      <c r="I1386" s="56">
        <v>0</v>
      </c>
      <c r="J1386" s="51">
        <v>0</v>
      </c>
      <c r="K1386" s="50">
        <f t="shared" si="122"/>
        <v>0</v>
      </c>
      <c r="L1386" s="52">
        <f t="shared" si="123"/>
        <v>0</v>
      </c>
    </row>
    <row r="1387" spans="3:12" s="53" customFormat="1" ht="35.450000000000003" customHeight="1">
      <c r="C1387" s="154" t="s">
        <v>312</v>
      </c>
      <c r="D1387" s="47" t="s">
        <v>101</v>
      </c>
      <c r="E1387" s="48" t="s">
        <v>371</v>
      </c>
      <c r="F1387" s="48" t="s">
        <v>378</v>
      </c>
      <c r="G1387" s="49">
        <v>1</v>
      </c>
      <c r="H1387" s="51">
        <v>0</v>
      </c>
      <c r="I1387" s="56">
        <v>0</v>
      </c>
      <c r="J1387" s="51">
        <v>0</v>
      </c>
      <c r="K1387" s="50">
        <f t="shared" si="122"/>
        <v>0</v>
      </c>
      <c r="L1387" s="52">
        <f t="shared" si="123"/>
        <v>0</v>
      </c>
    </row>
    <row r="1388" spans="3:12" s="53" customFormat="1" ht="35.450000000000003" customHeight="1">
      <c r="C1388" s="154" t="s">
        <v>313</v>
      </c>
      <c r="D1388" s="47" t="s">
        <v>103</v>
      </c>
      <c r="E1388" s="48" t="s">
        <v>371</v>
      </c>
      <c r="F1388" s="48" t="s">
        <v>378</v>
      </c>
      <c r="G1388" s="49">
        <v>1</v>
      </c>
      <c r="H1388" s="51">
        <v>0</v>
      </c>
      <c r="I1388" s="56">
        <v>0</v>
      </c>
      <c r="J1388" s="51">
        <v>0</v>
      </c>
      <c r="K1388" s="50">
        <f t="shared" si="122"/>
        <v>0</v>
      </c>
      <c r="L1388" s="52">
        <f t="shared" si="123"/>
        <v>0</v>
      </c>
    </row>
    <row r="1389" spans="3:12" s="53" customFormat="1" ht="35.450000000000003" customHeight="1">
      <c r="C1389" s="154" t="s">
        <v>314</v>
      </c>
      <c r="D1389" s="47" t="s">
        <v>293</v>
      </c>
      <c r="E1389" s="48" t="s">
        <v>371</v>
      </c>
      <c r="F1389" s="48" t="s">
        <v>378</v>
      </c>
      <c r="G1389" s="49">
        <v>1</v>
      </c>
      <c r="H1389" s="51">
        <v>0</v>
      </c>
      <c r="I1389" s="56">
        <v>0</v>
      </c>
      <c r="J1389" s="51">
        <v>0</v>
      </c>
      <c r="K1389" s="50">
        <f t="shared" si="122"/>
        <v>0</v>
      </c>
      <c r="L1389" s="52">
        <f t="shared" si="123"/>
        <v>0</v>
      </c>
    </row>
    <row r="1390" spans="3:12" s="53" customFormat="1" ht="35.450000000000003" customHeight="1">
      <c r="C1390" s="154" t="s">
        <v>315</v>
      </c>
      <c r="D1390" s="47" t="s">
        <v>106</v>
      </c>
      <c r="E1390" s="48" t="s">
        <v>371</v>
      </c>
      <c r="F1390" s="48" t="s">
        <v>378</v>
      </c>
      <c r="G1390" s="49">
        <v>1</v>
      </c>
      <c r="H1390" s="51">
        <v>0</v>
      </c>
      <c r="I1390" s="56">
        <v>0</v>
      </c>
      <c r="J1390" s="51">
        <v>0</v>
      </c>
      <c r="K1390" s="50">
        <f t="shared" si="122"/>
        <v>0</v>
      </c>
      <c r="L1390" s="52">
        <f t="shared" si="123"/>
        <v>0</v>
      </c>
    </row>
    <row r="1391" spans="3:12" s="53" customFormat="1" ht="35.450000000000003" customHeight="1">
      <c r="C1391" s="154" t="s">
        <v>316</v>
      </c>
      <c r="D1391" s="47" t="s">
        <v>110</v>
      </c>
      <c r="E1391" s="61" t="s">
        <v>394</v>
      </c>
      <c r="F1391" s="48" t="s">
        <v>26</v>
      </c>
      <c r="G1391" s="49">
        <v>1</v>
      </c>
      <c r="H1391" s="51">
        <v>0</v>
      </c>
      <c r="I1391" s="56">
        <v>0</v>
      </c>
      <c r="J1391" s="51">
        <v>0</v>
      </c>
      <c r="K1391" s="50">
        <f t="shared" si="122"/>
        <v>0</v>
      </c>
      <c r="L1391" s="52">
        <f t="shared" si="123"/>
        <v>0</v>
      </c>
    </row>
    <row r="1392" spans="3:12" s="53" customFormat="1" ht="35.450000000000003" customHeight="1">
      <c r="C1392" s="154"/>
      <c r="D1392" s="174" t="s">
        <v>180</v>
      </c>
      <c r="E1392" s="79"/>
      <c r="F1392" s="80"/>
      <c r="G1392" s="81"/>
      <c r="H1392" s="51"/>
      <c r="I1392" s="56"/>
      <c r="J1392" s="51"/>
      <c r="K1392" s="50"/>
      <c r="L1392" s="52"/>
    </row>
    <row r="1393" spans="3:12" s="129" customFormat="1" ht="35.450000000000003" customHeight="1">
      <c r="C1393" s="175" t="s">
        <v>685</v>
      </c>
      <c r="D1393" s="176" t="s">
        <v>317</v>
      </c>
      <c r="E1393" s="48" t="s">
        <v>411</v>
      </c>
      <c r="F1393" s="76" t="s">
        <v>387</v>
      </c>
      <c r="G1393" s="177">
        <v>5700</v>
      </c>
      <c r="H1393" s="51">
        <v>0</v>
      </c>
      <c r="I1393" s="56">
        <v>0</v>
      </c>
      <c r="J1393" s="51">
        <v>0</v>
      </c>
      <c r="K1393" s="50">
        <f t="shared" si="122"/>
        <v>0</v>
      </c>
      <c r="L1393" s="52">
        <f t="shared" si="123"/>
        <v>0</v>
      </c>
    </row>
    <row r="1394" spans="3:12" s="129" customFormat="1" ht="35.450000000000003" customHeight="1">
      <c r="C1394" s="175"/>
      <c r="D1394" s="176"/>
      <c r="E1394" s="48"/>
      <c r="F1394" s="76"/>
      <c r="G1394" s="177"/>
      <c r="H1394" s="51"/>
      <c r="I1394" s="56"/>
      <c r="J1394" s="51"/>
      <c r="K1394" s="50"/>
      <c r="L1394" s="52"/>
    </row>
    <row r="1395" spans="3:12" ht="39.950000000000003" customHeight="1">
      <c r="C1395" s="62"/>
      <c r="D1395" s="63" t="s">
        <v>734</v>
      </c>
      <c r="E1395" s="64"/>
      <c r="F1395" s="65"/>
      <c r="G1395" s="66"/>
      <c r="H1395" s="67">
        <f>SUMPRODUCT(G1376:G1393,H1376:H1393)</f>
        <v>0</v>
      </c>
      <c r="I1395" s="67">
        <f>SUMPRODUCT(G1376:G1393,I1376:I1393)</f>
        <v>0</v>
      </c>
      <c r="J1395" s="67">
        <f>SUMPRODUCT(G1376:G1393,J1376:J1393)</f>
        <v>0</v>
      </c>
      <c r="K1395" s="68"/>
      <c r="L1395" s="69">
        <f>SUM(L1376:L1393)</f>
        <v>0</v>
      </c>
    </row>
    <row r="1396" spans="3:12">
      <c r="C1396" s="94"/>
      <c r="D1396" s="95"/>
      <c r="E1396" s="96"/>
      <c r="F1396" s="97"/>
      <c r="G1396" s="98"/>
      <c r="H1396" s="99"/>
      <c r="I1396" s="102"/>
      <c r="J1396" s="102"/>
      <c r="K1396" s="100"/>
      <c r="L1396" s="101"/>
    </row>
    <row r="1397" spans="3:12" ht="30" customHeight="1">
      <c r="C1397" s="25" t="s">
        <v>203</v>
      </c>
      <c r="D1397" s="26" t="s">
        <v>375</v>
      </c>
      <c r="E1397" s="27"/>
      <c r="F1397" s="28"/>
      <c r="G1397" s="29"/>
      <c r="H1397" s="30"/>
      <c r="I1397" s="31"/>
      <c r="J1397" s="31"/>
      <c r="K1397" s="32"/>
      <c r="L1397" s="33"/>
    </row>
    <row r="1398" spans="3:12" s="53" customFormat="1">
      <c r="C1398" s="154"/>
      <c r="D1398" s="151"/>
      <c r="E1398" s="79"/>
      <c r="F1398" s="80"/>
      <c r="G1398" s="81"/>
      <c r="H1398" s="99"/>
      <c r="I1398" s="102"/>
      <c r="J1398" s="102"/>
      <c r="K1398" s="84"/>
      <c r="L1398" s="85"/>
    </row>
    <row r="1399" spans="3:12" s="53" customFormat="1" ht="105" customHeight="1">
      <c r="C1399" s="154" t="s">
        <v>204</v>
      </c>
      <c r="D1399" s="147" t="s">
        <v>675</v>
      </c>
      <c r="E1399" s="61" t="s">
        <v>425</v>
      </c>
      <c r="F1399" s="48" t="s">
        <v>378</v>
      </c>
      <c r="G1399" s="49">
        <v>6</v>
      </c>
      <c r="H1399" s="51">
        <v>0</v>
      </c>
      <c r="I1399" s="56">
        <v>0</v>
      </c>
      <c r="J1399" s="51">
        <v>0</v>
      </c>
      <c r="K1399" s="50">
        <f>+H1399+I1399+J1399</f>
        <v>0</v>
      </c>
      <c r="L1399" s="52">
        <f>+K1399*G1399</f>
        <v>0</v>
      </c>
    </row>
    <row r="1400" spans="3:12" s="53" customFormat="1" ht="43.15" customHeight="1">
      <c r="C1400" s="154" t="s">
        <v>205</v>
      </c>
      <c r="D1400" s="147" t="s">
        <v>948</v>
      </c>
      <c r="E1400" s="61" t="s">
        <v>425</v>
      </c>
      <c r="F1400" s="48" t="s">
        <v>378</v>
      </c>
      <c r="G1400" s="49">
        <v>6</v>
      </c>
      <c r="H1400" s="51">
        <v>0</v>
      </c>
      <c r="I1400" s="56">
        <v>0</v>
      </c>
      <c r="J1400" s="51">
        <v>0</v>
      </c>
      <c r="K1400" s="50">
        <f t="shared" ref="K1400:K1416" si="124">+H1400+I1400+J1400</f>
        <v>0</v>
      </c>
      <c r="L1400" s="52">
        <f t="shared" ref="L1400:L1416" si="125">+K1400*G1400</f>
        <v>0</v>
      </c>
    </row>
    <row r="1401" spans="3:12" s="53" customFormat="1" ht="43.15" customHeight="1">
      <c r="C1401" s="154" t="s">
        <v>206</v>
      </c>
      <c r="D1401" s="147" t="s">
        <v>676</v>
      </c>
      <c r="E1401" s="61" t="s">
        <v>425</v>
      </c>
      <c r="F1401" s="48" t="s">
        <v>378</v>
      </c>
      <c r="G1401" s="49">
        <v>3</v>
      </c>
      <c r="H1401" s="51">
        <v>0</v>
      </c>
      <c r="I1401" s="56">
        <v>0</v>
      </c>
      <c r="J1401" s="51">
        <v>0</v>
      </c>
      <c r="K1401" s="50">
        <f t="shared" si="124"/>
        <v>0</v>
      </c>
      <c r="L1401" s="52">
        <f t="shared" si="125"/>
        <v>0</v>
      </c>
    </row>
    <row r="1402" spans="3:12" s="53" customFormat="1" ht="69.599999999999994" customHeight="1">
      <c r="C1402" s="154" t="s">
        <v>207</v>
      </c>
      <c r="D1402" s="147" t="s">
        <v>947</v>
      </c>
      <c r="E1402" s="61" t="s">
        <v>426</v>
      </c>
      <c r="F1402" s="48" t="s">
        <v>378</v>
      </c>
      <c r="G1402" s="49">
        <v>1</v>
      </c>
      <c r="H1402" s="51">
        <v>0</v>
      </c>
      <c r="I1402" s="56">
        <v>0</v>
      </c>
      <c r="J1402" s="51">
        <v>0</v>
      </c>
      <c r="K1402" s="50">
        <f t="shared" si="124"/>
        <v>0</v>
      </c>
      <c r="L1402" s="52">
        <f t="shared" si="125"/>
        <v>0</v>
      </c>
    </row>
    <row r="1403" spans="3:12" s="53" customFormat="1" ht="54.6" customHeight="1">
      <c r="C1403" s="154" t="s">
        <v>208</v>
      </c>
      <c r="D1403" s="47" t="s">
        <v>681</v>
      </c>
      <c r="E1403" s="61" t="s">
        <v>425</v>
      </c>
      <c r="F1403" s="48" t="s">
        <v>26</v>
      </c>
      <c r="G1403" s="49">
        <v>1</v>
      </c>
      <c r="H1403" s="51">
        <v>0</v>
      </c>
      <c r="I1403" s="56">
        <v>0</v>
      </c>
      <c r="J1403" s="51">
        <v>0</v>
      </c>
      <c r="K1403" s="50">
        <f t="shared" si="124"/>
        <v>0</v>
      </c>
      <c r="L1403" s="52">
        <f t="shared" si="125"/>
        <v>0</v>
      </c>
    </row>
    <row r="1404" spans="3:12" s="53" customFormat="1" ht="83.45" customHeight="1">
      <c r="C1404" s="154" t="s">
        <v>209</v>
      </c>
      <c r="D1404" s="147" t="s">
        <v>674</v>
      </c>
      <c r="E1404" s="61" t="s">
        <v>393</v>
      </c>
      <c r="F1404" s="48" t="s">
        <v>26</v>
      </c>
      <c r="G1404" s="49">
        <v>4</v>
      </c>
      <c r="H1404" s="51">
        <v>0</v>
      </c>
      <c r="I1404" s="56">
        <v>0</v>
      </c>
      <c r="J1404" s="51">
        <v>0</v>
      </c>
      <c r="K1404" s="50">
        <f t="shared" si="124"/>
        <v>0</v>
      </c>
      <c r="L1404" s="52">
        <f t="shared" si="125"/>
        <v>0</v>
      </c>
    </row>
    <row r="1405" spans="3:12" s="53" customFormat="1" ht="34.9" customHeight="1">
      <c r="C1405" s="154" t="s">
        <v>210</v>
      </c>
      <c r="D1405" s="147" t="s">
        <v>677</v>
      </c>
      <c r="E1405" s="61" t="s">
        <v>393</v>
      </c>
      <c r="F1405" s="48" t="s">
        <v>378</v>
      </c>
      <c r="G1405" s="49">
        <v>4</v>
      </c>
      <c r="H1405" s="51">
        <v>0</v>
      </c>
      <c r="I1405" s="56">
        <v>0</v>
      </c>
      <c r="J1405" s="51">
        <v>0</v>
      </c>
      <c r="K1405" s="50">
        <f t="shared" si="124"/>
        <v>0</v>
      </c>
      <c r="L1405" s="52">
        <f t="shared" si="125"/>
        <v>0</v>
      </c>
    </row>
    <row r="1406" spans="3:12" s="53" customFormat="1" ht="82.9" customHeight="1">
      <c r="C1406" s="154" t="s">
        <v>211</v>
      </c>
      <c r="D1406" s="147" t="s">
        <v>947</v>
      </c>
      <c r="E1406" s="61" t="s">
        <v>426</v>
      </c>
      <c r="F1406" s="48" t="s">
        <v>378</v>
      </c>
      <c r="G1406" s="49">
        <v>2</v>
      </c>
      <c r="H1406" s="51">
        <v>0</v>
      </c>
      <c r="I1406" s="56">
        <v>0</v>
      </c>
      <c r="J1406" s="51">
        <v>0</v>
      </c>
      <c r="K1406" s="50">
        <f t="shared" si="124"/>
        <v>0</v>
      </c>
      <c r="L1406" s="52">
        <f t="shared" si="125"/>
        <v>0</v>
      </c>
    </row>
    <row r="1407" spans="3:12" s="53" customFormat="1" ht="35.450000000000003" customHeight="1">
      <c r="C1407" s="154" t="s">
        <v>212</v>
      </c>
      <c r="D1407" s="147" t="s">
        <v>683</v>
      </c>
      <c r="E1407" s="61" t="s">
        <v>854</v>
      </c>
      <c r="F1407" s="48" t="s">
        <v>378</v>
      </c>
      <c r="G1407" s="49">
        <v>1</v>
      </c>
      <c r="H1407" s="51">
        <v>0</v>
      </c>
      <c r="I1407" s="56">
        <v>0</v>
      </c>
      <c r="J1407" s="51">
        <v>0</v>
      </c>
      <c r="K1407" s="50">
        <f t="shared" si="124"/>
        <v>0</v>
      </c>
      <c r="L1407" s="52">
        <f t="shared" si="125"/>
        <v>0</v>
      </c>
    </row>
    <row r="1408" spans="3:12" s="53" customFormat="1" ht="43.9" customHeight="1">
      <c r="C1408" s="154" t="s">
        <v>213</v>
      </c>
      <c r="D1408" s="147" t="s">
        <v>949</v>
      </c>
      <c r="E1408" s="61" t="s">
        <v>854</v>
      </c>
      <c r="F1408" s="48" t="s">
        <v>378</v>
      </c>
      <c r="G1408" s="49">
        <v>2</v>
      </c>
      <c r="H1408" s="51">
        <v>0</v>
      </c>
      <c r="I1408" s="56">
        <v>0</v>
      </c>
      <c r="J1408" s="51">
        <v>0</v>
      </c>
      <c r="K1408" s="50">
        <f t="shared" si="124"/>
        <v>0</v>
      </c>
      <c r="L1408" s="52">
        <f t="shared" si="125"/>
        <v>0</v>
      </c>
    </row>
    <row r="1409" spans="3:12" s="53" customFormat="1" ht="30" customHeight="1">
      <c r="C1409" s="154" t="s">
        <v>214</v>
      </c>
      <c r="D1409" s="147" t="s">
        <v>950</v>
      </c>
      <c r="E1409" s="61" t="s">
        <v>854</v>
      </c>
      <c r="F1409" s="48" t="s">
        <v>378</v>
      </c>
      <c r="G1409" s="49">
        <v>200</v>
      </c>
      <c r="H1409" s="51">
        <v>0</v>
      </c>
      <c r="I1409" s="56">
        <v>0</v>
      </c>
      <c r="J1409" s="51">
        <v>0</v>
      </c>
      <c r="K1409" s="50">
        <f t="shared" si="124"/>
        <v>0</v>
      </c>
      <c r="L1409" s="52">
        <f t="shared" si="125"/>
        <v>0</v>
      </c>
    </row>
    <row r="1410" spans="3:12" s="53" customFormat="1" ht="30" customHeight="1">
      <c r="C1410" s="154" t="s">
        <v>301</v>
      </c>
      <c r="D1410" s="147" t="s">
        <v>678</v>
      </c>
      <c r="E1410" s="61" t="s">
        <v>854</v>
      </c>
      <c r="F1410" s="48" t="s">
        <v>378</v>
      </c>
      <c r="G1410" s="49">
        <v>2</v>
      </c>
      <c r="H1410" s="51">
        <v>0</v>
      </c>
      <c r="I1410" s="56">
        <v>0</v>
      </c>
      <c r="J1410" s="51">
        <v>0</v>
      </c>
      <c r="K1410" s="50">
        <f t="shared" si="124"/>
        <v>0</v>
      </c>
      <c r="L1410" s="52">
        <f t="shared" si="125"/>
        <v>0</v>
      </c>
    </row>
    <row r="1411" spans="3:12" s="53" customFormat="1" ht="30" customHeight="1">
      <c r="C1411" s="154" t="s">
        <v>682</v>
      </c>
      <c r="D1411" s="147" t="s">
        <v>679</v>
      </c>
      <c r="E1411" s="61" t="s">
        <v>854</v>
      </c>
      <c r="F1411" s="48" t="s">
        <v>378</v>
      </c>
      <c r="G1411" s="49">
        <v>1</v>
      </c>
      <c r="H1411" s="51">
        <v>0</v>
      </c>
      <c r="I1411" s="56">
        <v>0</v>
      </c>
      <c r="J1411" s="51">
        <v>0</v>
      </c>
      <c r="K1411" s="50">
        <f t="shared" si="124"/>
        <v>0</v>
      </c>
      <c r="L1411" s="52">
        <f t="shared" si="125"/>
        <v>0</v>
      </c>
    </row>
    <row r="1412" spans="3:12" s="53" customFormat="1" ht="50.45" customHeight="1">
      <c r="C1412" s="154" t="s">
        <v>951</v>
      </c>
      <c r="D1412" s="47" t="s">
        <v>680</v>
      </c>
      <c r="E1412" s="61" t="s">
        <v>425</v>
      </c>
      <c r="F1412" s="48" t="s">
        <v>26</v>
      </c>
      <c r="G1412" s="49">
        <v>1</v>
      </c>
      <c r="H1412" s="51">
        <v>0</v>
      </c>
      <c r="I1412" s="56">
        <v>0</v>
      </c>
      <c r="J1412" s="51">
        <v>0</v>
      </c>
      <c r="K1412" s="50">
        <f t="shared" si="124"/>
        <v>0</v>
      </c>
      <c r="L1412" s="52">
        <f t="shared" si="125"/>
        <v>0</v>
      </c>
    </row>
    <row r="1413" spans="3:12" s="53" customFormat="1" ht="38.450000000000003" customHeight="1">
      <c r="C1413" s="154"/>
      <c r="D1413" s="174" t="s">
        <v>180</v>
      </c>
      <c r="E1413" s="79"/>
      <c r="F1413" s="80"/>
      <c r="G1413" s="81"/>
      <c r="H1413" s="51"/>
      <c r="I1413" s="56"/>
      <c r="J1413" s="51"/>
      <c r="K1413" s="50"/>
      <c r="L1413" s="52"/>
    </row>
    <row r="1414" spans="3:12" s="53" customFormat="1" ht="29.45" customHeight="1">
      <c r="C1414" s="154" t="s">
        <v>952</v>
      </c>
      <c r="D1414" s="47" t="s">
        <v>383</v>
      </c>
      <c r="E1414" s="61" t="s">
        <v>356</v>
      </c>
      <c r="F1414" s="76" t="s">
        <v>387</v>
      </c>
      <c r="G1414" s="49">
        <v>150</v>
      </c>
      <c r="H1414" s="51">
        <v>0</v>
      </c>
      <c r="I1414" s="56">
        <v>0</v>
      </c>
      <c r="J1414" s="51">
        <v>0</v>
      </c>
      <c r="K1414" s="50">
        <f t="shared" si="124"/>
        <v>0</v>
      </c>
      <c r="L1414" s="52">
        <f t="shared" si="125"/>
        <v>0</v>
      </c>
    </row>
    <row r="1415" spans="3:12" s="53" customFormat="1" ht="29.45" customHeight="1">
      <c r="C1415" s="154" t="s">
        <v>953</v>
      </c>
      <c r="D1415" s="47" t="s">
        <v>943</v>
      </c>
      <c r="E1415" s="48" t="s">
        <v>411</v>
      </c>
      <c r="F1415" s="76" t="s">
        <v>387</v>
      </c>
      <c r="G1415" s="49">
        <v>300</v>
      </c>
      <c r="H1415" s="51">
        <v>0</v>
      </c>
      <c r="I1415" s="56">
        <v>0</v>
      </c>
      <c r="J1415" s="51">
        <v>0</v>
      </c>
      <c r="K1415" s="50">
        <f t="shared" si="124"/>
        <v>0</v>
      </c>
      <c r="L1415" s="52">
        <f t="shared" si="125"/>
        <v>0</v>
      </c>
    </row>
    <row r="1416" spans="3:12" s="53" customFormat="1" ht="29.45" customHeight="1">
      <c r="C1416" s="154" t="s">
        <v>954</v>
      </c>
      <c r="D1416" s="47" t="s">
        <v>417</v>
      </c>
      <c r="E1416" s="48" t="s">
        <v>411</v>
      </c>
      <c r="F1416" s="76" t="s">
        <v>387</v>
      </c>
      <c r="G1416" s="49">
        <v>200</v>
      </c>
      <c r="H1416" s="51">
        <v>0</v>
      </c>
      <c r="I1416" s="56">
        <v>0</v>
      </c>
      <c r="J1416" s="51">
        <v>0</v>
      </c>
      <c r="K1416" s="50">
        <f t="shared" si="124"/>
        <v>0</v>
      </c>
      <c r="L1416" s="52">
        <f t="shared" si="125"/>
        <v>0</v>
      </c>
    </row>
    <row r="1417" spans="3:12" s="53" customFormat="1" ht="29.45" customHeight="1">
      <c r="C1417" s="154"/>
      <c r="D1417" s="47"/>
      <c r="E1417" s="48"/>
      <c r="F1417" s="76"/>
      <c r="G1417" s="49"/>
      <c r="H1417" s="51"/>
      <c r="I1417" s="56"/>
      <c r="J1417" s="51"/>
      <c r="K1417" s="50"/>
      <c r="L1417" s="52"/>
    </row>
    <row r="1418" spans="3:12" ht="39.950000000000003" customHeight="1">
      <c r="C1418" s="62"/>
      <c r="D1418" s="63" t="s">
        <v>735</v>
      </c>
      <c r="E1418" s="64"/>
      <c r="F1418" s="65"/>
      <c r="G1418" s="66"/>
      <c r="H1418" s="67">
        <f>SUMPRODUCT(G1399:G1416,H1399:H1416)</f>
        <v>0</v>
      </c>
      <c r="I1418" s="67">
        <f>SUMPRODUCT(G1399:G1416,I1399:I1416)</f>
        <v>0</v>
      </c>
      <c r="J1418" s="67">
        <f>SUMPRODUCT(G1399:G1416,J1399:J1416)</f>
        <v>0</v>
      </c>
      <c r="K1418" s="68"/>
      <c r="L1418" s="69">
        <f>SUM(L1399:L1416)</f>
        <v>0</v>
      </c>
    </row>
    <row r="1419" spans="3:12">
      <c r="C1419" s="94"/>
      <c r="D1419" s="95"/>
      <c r="E1419" s="96"/>
      <c r="F1419" s="97"/>
      <c r="G1419" s="98"/>
      <c r="H1419" s="99"/>
      <c r="I1419" s="102"/>
      <c r="J1419" s="102"/>
      <c r="K1419" s="100"/>
      <c r="L1419" s="101"/>
    </row>
    <row r="1420" spans="3:12" ht="43.15" customHeight="1">
      <c r="C1420" s="25" t="s">
        <v>302</v>
      </c>
      <c r="D1420" s="26" t="s">
        <v>377</v>
      </c>
      <c r="E1420" s="27"/>
      <c r="F1420" s="28"/>
      <c r="G1420" s="29"/>
      <c r="H1420" s="30"/>
      <c r="I1420" s="31"/>
      <c r="J1420" s="31"/>
      <c r="K1420" s="32"/>
      <c r="L1420" s="33"/>
    </row>
    <row r="1421" spans="3:12" s="53" customFormat="1" ht="32.450000000000003" customHeight="1">
      <c r="C1421" s="154" t="s">
        <v>303</v>
      </c>
      <c r="D1421" s="147" t="s">
        <v>318</v>
      </c>
      <c r="E1421" s="48" t="s">
        <v>411</v>
      </c>
      <c r="F1421" s="76" t="s">
        <v>387</v>
      </c>
      <c r="G1421" s="49">
        <v>1500</v>
      </c>
      <c r="H1421" s="50">
        <v>0</v>
      </c>
      <c r="I1421" s="54">
        <v>0</v>
      </c>
      <c r="J1421" s="50">
        <v>0</v>
      </c>
      <c r="K1421" s="50">
        <f>+H1421+I1421+J1421</f>
        <v>0</v>
      </c>
      <c r="L1421" s="52">
        <f>+K1421*G1421</f>
        <v>0</v>
      </c>
    </row>
    <row r="1422" spans="3:12" s="53" customFormat="1" ht="32.450000000000003" customHeight="1">
      <c r="C1422" s="154" t="s">
        <v>319</v>
      </c>
      <c r="D1422" s="147" t="s">
        <v>321</v>
      </c>
      <c r="E1422" s="48" t="s">
        <v>411</v>
      </c>
      <c r="F1422" s="76" t="s">
        <v>387</v>
      </c>
      <c r="G1422" s="49">
        <v>700</v>
      </c>
      <c r="H1422" s="50">
        <v>0</v>
      </c>
      <c r="I1422" s="54">
        <v>0</v>
      </c>
      <c r="J1422" s="50">
        <v>0</v>
      </c>
      <c r="K1422" s="50">
        <f>+H1422+I1422+J1422</f>
        <v>0</v>
      </c>
      <c r="L1422" s="52">
        <f>+K1422*G1422</f>
        <v>0</v>
      </c>
    </row>
    <row r="1423" spans="3:12" s="53" customFormat="1" ht="32.450000000000003" customHeight="1">
      <c r="C1423" s="154" t="s">
        <v>320</v>
      </c>
      <c r="D1423" s="147" t="s">
        <v>829</v>
      </c>
      <c r="E1423" s="48" t="s">
        <v>411</v>
      </c>
      <c r="F1423" s="76" t="s">
        <v>378</v>
      </c>
      <c r="G1423" s="49">
        <v>10</v>
      </c>
      <c r="H1423" s="50">
        <v>0</v>
      </c>
      <c r="I1423" s="54">
        <v>0</v>
      </c>
      <c r="J1423" s="50">
        <v>0</v>
      </c>
      <c r="K1423" s="50">
        <f>+H1423+I1423+J1423</f>
        <v>0</v>
      </c>
      <c r="L1423" s="52">
        <f>+K1423*G1423</f>
        <v>0</v>
      </c>
    </row>
    <row r="1424" spans="3:12" s="53" customFormat="1" ht="32.450000000000003" customHeight="1">
      <c r="C1424" s="154" t="s">
        <v>737</v>
      </c>
      <c r="D1424" s="147" t="s">
        <v>942</v>
      </c>
      <c r="E1424" s="61" t="s">
        <v>368</v>
      </c>
      <c r="F1424" s="76" t="s">
        <v>387</v>
      </c>
      <c r="G1424" s="49">
        <v>200</v>
      </c>
      <c r="H1424" s="50">
        <v>0</v>
      </c>
      <c r="I1424" s="54">
        <v>0</v>
      </c>
      <c r="J1424" s="50">
        <v>0</v>
      </c>
      <c r="K1424" s="50">
        <f>+H1424+I1424+J1424</f>
        <v>0</v>
      </c>
      <c r="L1424" s="52">
        <f>+K1424*G1424</f>
        <v>0</v>
      </c>
    </row>
    <row r="1425" spans="3:12" s="53" customFormat="1" ht="32.450000000000003" customHeight="1">
      <c r="C1425" s="154"/>
      <c r="D1425" s="147"/>
      <c r="E1425" s="61"/>
      <c r="F1425" s="76"/>
      <c r="G1425" s="49"/>
      <c r="H1425" s="50"/>
      <c r="I1425" s="54"/>
      <c r="J1425" s="50"/>
      <c r="K1425" s="50"/>
      <c r="L1425" s="52"/>
    </row>
    <row r="1426" spans="3:12" ht="39.950000000000003" customHeight="1">
      <c r="C1426" s="62"/>
      <c r="D1426" s="63" t="s">
        <v>736</v>
      </c>
      <c r="E1426" s="64"/>
      <c r="F1426" s="65"/>
      <c r="G1426" s="66"/>
      <c r="H1426" s="67">
        <f>SUMPRODUCT(G1421:G1424,H1421:H1424)</f>
        <v>0</v>
      </c>
      <c r="I1426" s="67">
        <f>SUMPRODUCT(G1421:G1424,I1421:I1424)</f>
        <v>0</v>
      </c>
      <c r="J1426" s="67">
        <f>SUMPRODUCT(G1421:G1424,J1421:J1424)</f>
        <v>0</v>
      </c>
      <c r="K1426" s="68"/>
      <c r="L1426" s="69">
        <f>SUM(L1421:L1424)</f>
        <v>0</v>
      </c>
    </row>
    <row r="1427" spans="3:12" ht="39.950000000000003" customHeight="1">
      <c r="C1427" s="173"/>
      <c r="D1427" s="168"/>
      <c r="E1427" s="169"/>
      <c r="F1427" s="170"/>
      <c r="G1427" s="171"/>
      <c r="H1427" s="178"/>
      <c r="I1427" s="178"/>
      <c r="J1427" s="178"/>
      <c r="K1427" s="179"/>
      <c r="L1427" s="180"/>
    </row>
    <row r="1428" spans="3:12" ht="39.950000000000003" customHeight="1">
      <c r="C1428" s="181" t="s">
        <v>796</v>
      </c>
      <c r="D1428" s="182" t="s">
        <v>1874</v>
      </c>
      <c r="E1428" s="183"/>
      <c r="F1428" s="184"/>
      <c r="G1428" s="185"/>
      <c r="H1428" s="186"/>
      <c r="I1428" s="186"/>
      <c r="J1428" s="186"/>
      <c r="K1428" s="187"/>
      <c r="L1428" s="188"/>
    </row>
    <row r="1429" spans="3:12" ht="39.950000000000003" customHeight="1">
      <c r="C1429" s="62"/>
      <c r="D1429" s="130" t="s">
        <v>2057</v>
      </c>
      <c r="E1429" s="64"/>
      <c r="F1429" s="65"/>
      <c r="G1429" s="66"/>
      <c r="H1429" s="67"/>
      <c r="I1429" s="67"/>
      <c r="J1429" s="67"/>
      <c r="K1429" s="68"/>
      <c r="L1429" s="69"/>
    </row>
    <row r="1430" spans="3:12" s="53" customFormat="1" ht="69" customHeight="1">
      <c r="C1430" s="154" t="s">
        <v>797</v>
      </c>
      <c r="D1430" s="147" t="s">
        <v>843</v>
      </c>
      <c r="E1430" s="48" t="s">
        <v>855</v>
      </c>
      <c r="F1430" s="76" t="s">
        <v>387</v>
      </c>
      <c r="G1430" s="49">
        <v>500</v>
      </c>
      <c r="H1430" s="51">
        <v>0</v>
      </c>
      <c r="I1430" s="56">
        <v>0</v>
      </c>
      <c r="J1430" s="51">
        <v>0</v>
      </c>
      <c r="K1430" s="50">
        <f>+H1430+I1430+J1430</f>
        <v>0</v>
      </c>
      <c r="L1430" s="52">
        <f>+K1430*G1430</f>
        <v>0</v>
      </c>
    </row>
    <row r="1431" spans="3:12" s="53" customFormat="1" ht="39.6" customHeight="1">
      <c r="C1431" s="154" t="s">
        <v>798</v>
      </c>
      <c r="D1431" s="47" t="s">
        <v>830</v>
      </c>
      <c r="E1431" s="136" t="s">
        <v>919</v>
      </c>
      <c r="F1431" s="137" t="s">
        <v>378</v>
      </c>
      <c r="G1431" s="138">
        <v>20</v>
      </c>
      <c r="H1431" s="51">
        <v>0</v>
      </c>
      <c r="I1431" s="56">
        <v>0</v>
      </c>
      <c r="J1431" s="51">
        <v>0</v>
      </c>
      <c r="K1431" s="50">
        <f t="shared" ref="K1431:K1451" si="126">+H1431+I1431+J1431</f>
        <v>0</v>
      </c>
      <c r="L1431" s="52">
        <f t="shared" ref="L1431:L1451" si="127">+K1431*G1431</f>
        <v>0</v>
      </c>
    </row>
    <row r="1432" spans="3:12" s="53" customFormat="1" ht="39.6" customHeight="1">
      <c r="C1432" s="154" t="s">
        <v>799</v>
      </c>
      <c r="D1432" s="47" t="s">
        <v>831</v>
      </c>
      <c r="E1432" s="136" t="s">
        <v>919</v>
      </c>
      <c r="F1432" s="137" t="s">
        <v>378</v>
      </c>
      <c r="G1432" s="138">
        <v>20</v>
      </c>
      <c r="H1432" s="51">
        <v>0</v>
      </c>
      <c r="I1432" s="56">
        <v>0</v>
      </c>
      <c r="J1432" s="51">
        <v>0</v>
      </c>
      <c r="K1432" s="50">
        <f t="shared" si="126"/>
        <v>0</v>
      </c>
      <c r="L1432" s="52">
        <f t="shared" si="127"/>
        <v>0</v>
      </c>
    </row>
    <row r="1433" spans="3:12" s="53" customFormat="1" ht="39.6" customHeight="1">
      <c r="C1433" s="154" t="s">
        <v>800</v>
      </c>
      <c r="D1433" s="135" t="s">
        <v>812</v>
      </c>
      <c r="E1433" s="136" t="s">
        <v>424</v>
      </c>
      <c r="F1433" s="137" t="s">
        <v>811</v>
      </c>
      <c r="G1433" s="138">
        <v>1</v>
      </c>
      <c r="H1433" s="51">
        <v>0</v>
      </c>
      <c r="I1433" s="56">
        <v>0</v>
      </c>
      <c r="J1433" s="51">
        <v>0</v>
      </c>
      <c r="K1433" s="50">
        <f t="shared" si="126"/>
        <v>0</v>
      </c>
      <c r="L1433" s="52">
        <f t="shared" si="127"/>
        <v>0</v>
      </c>
    </row>
    <row r="1434" spans="3:12" s="53" customFormat="1" ht="39.6" customHeight="1">
      <c r="C1434" s="154" t="s">
        <v>801</v>
      </c>
      <c r="D1434" s="135" t="s">
        <v>813</v>
      </c>
      <c r="E1434" s="136" t="s">
        <v>851</v>
      </c>
      <c r="F1434" s="137" t="s">
        <v>815</v>
      </c>
      <c r="G1434" s="138">
        <v>30</v>
      </c>
      <c r="H1434" s="51">
        <v>0</v>
      </c>
      <c r="I1434" s="56">
        <v>0</v>
      </c>
      <c r="J1434" s="51">
        <v>0</v>
      </c>
      <c r="K1434" s="50">
        <f t="shared" si="126"/>
        <v>0</v>
      </c>
      <c r="L1434" s="52">
        <f t="shared" si="127"/>
        <v>0</v>
      </c>
    </row>
    <row r="1435" spans="3:12" s="53" customFormat="1" ht="39.6" customHeight="1">
      <c r="C1435" s="154" t="s">
        <v>802</v>
      </c>
      <c r="D1435" s="135" t="s">
        <v>814</v>
      </c>
      <c r="E1435" s="136" t="s">
        <v>851</v>
      </c>
      <c r="F1435" s="137" t="s">
        <v>378</v>
      </c>
      <c r="G1435" s="138">
        <v>50</v>
      </c>
      <c r="H1435" s="51">
        <v>0</v>
      </c>
      <c r="I1435" s="56">
        <v>0</v>
      </c>
      <c r="J1435" s="51">
        <v>0</v>
      </c>
      <c r="K1435" s="50">
        <f t="shared" si="126"/>
        <v>0</v>
      </c>
      <c r="L1435" s="52">
        <f t="shared" si="127"/>
        <v>0</v>
      </c>
    </row>
    <row r="1436" spans="3:12" s="53" customFormat="1" ht="39.6" customHeight="1">
      <c r="C1436" s="154" t="s">
        <v>803</v>
      </c>
      <c r="D1436" s="135" t="s">
        <v>825</v>
      </c>
      <c r="E1436" s="136" t="s">
        <v>851</v>
      </c>
      <c r="F1436" s="137" t="s">
        <v>378</v>
      </c>
      <c r="G1436" s="138">
        <v>12</v>
      </c>
      <c r="H1436" s="51">
        <v>0</v>
      </c>
      <c r="I1436" s="56">
        <v>0</v>
      </c>
      <c r="J1436" s="51">
        <v>0</v>
      </c>
      <c r="K1436" s="50">
        <f t="shared" si="126"/>
        <v>0</v>
      </c>
      <c r="L1436" s="52">
        <f t="shared" si="127"/>
        <v>0</v>
      </c>
    </row>
    <row r="1437" spans="3:12" s="53" customFormat="1" ht="39.6" customHeight="1">
      <c r="C1437" s="154" t="s">
        <v>804</v>
      </c>
      <c r="D1437" s="135" t="s">
        <v>827</v>
      </c>
      <c r="E1437" s="136" t="s">
        <v>919</v>
      </c>
      <c r="F1437" s="137" t="s">
        <v>378</v>
      </c>
      <c r="G1437" s="138">
        <v>5</v>
      </c>
      <c r="H1437" s="51">
        <v>0</v>
      </c>
      <c r="I1437" s="56">
        <v>0</v>
      </c>
      <c r="J1437" s="51">
        <v>0</v>
      </c>
      <c r="K1437" s="50">
        <f t="shared" si="126"/>
        <v>0</v>
      </c>
      <c r="L1437" s="52">
        <f t="shared" si="127"/>
        <v>0</v>
      </c>
    </row>
    <row r="1438" spans="3:12" s="53" customFormat="1" ht="39.6" customHeight="1">
      <c r="C1438" s="154" t="s">
        <v>805</v>
      </c>
      <c r="D1438" s="135" t="s">
        <v>828</v>
      </c>
      <c r="E1438" s="136" t="s">
        <v>919</v>
      </c>
      <c r="F1438" s="137" t="s">
        <v>378</v>
      </c>
      <c r="G1438" s="138">
        <v>2</v>
      </c>
      <c r="H1438" s="51">
        <v>0</v>
      </c>
      <c r="I1438" s="56">
        <v>0</v>
      </c>
      <c r="J1438" s="51">
        <v>0</v>
      </c>
      <c r="K1438" s="50">
        <f t="shared" si="126"/>
        <v>0</v>
      </c>
      <c r="L1438" s="52">
        <f t="shared" si="127"/>
        <v>0</v>
      </c>
    </row>
    <row r="1439" spans="3:12" s="53" customFormat="1" ht="39.6" customHeight="1">
      <c r="C1439" s="154" t="s">
        <v>806</v>
      </c>
      <c r="D1439" s="149" t="s">
        <v>2116</v>
      </c>
      <c r="E1439" s="136" t="s">
        <v>851</v>
      </c>
      <c r="F1439" s="137" t="s">
        <v>378</v>
      </c>
      <c r="G1439" s="138">
        <v>10</v>
      </c>
      <c r="H1439" s="51">
        <v>0</v>
      </c>
      <c r="I1439" s="56">
        <v>0</v>
      </c>
      <c r="J1439" s="51">
        <v>0</v>
      </c>
      <c r="K1439" s="50">
        <f t="shared" si="126"/>
        <v>0</v>
      </c>
      <c r="L1439" s="52">
        <f t="shared" si="127"/>
        <v>0</v>
      </c>
    </row>
    <row r="1440" spans="3:12" s="53" customFormat="1" ht="39.6" customHeight="1">
      <c r="C1440" s="154" t="s">
        <v>807</v>
      </c>
      <c r="D1440" s="135" t="s">
        <v>699</v>
      </c>
      <c r="E1440" s="136" t="s">
        <v>918</v>
      </c>
      <c r="F1440" s="137" t="s">
        <v>378</v>
      </c>
      <c r="G1440" s="138">
        <v>5</v>
      </c>
      <c r="H1440" s="51">
        <v>0</v>
      </c>
      <c r="I1440" s="56">
        <v>0</v>
      </c>
      <c r="J1440" s="51">
        <v>0</v>
      </c>
      <c r="K1440" s="50">
        <f t="shared" si="126"/>
        <v>0</v>
      </c>
      <c r="L1440" s="52">
        <f t="shared" si="127"/>
        <v>0</v>
      </c>
    </row>
    <row r="1441" spans="3:12" s="53" customFormat="1" ht="39.6" customHeight="1">
      <c r="C1441" s="154" t="s">
        <v>808</v>
      </c>
      <c r="D1441" s="135" t="s">
        <v>824</v>
      </c>
      <c r="E1441" s="136" t="s">
        <v>920</v>
      </c>
      <c r="F1441" s="137" t="s">
        <v>378</v>
      </c>
      <c r="G1441" s="138">
        <v>2</v>
      </c>
      <c r="H1441" s="51">
        <v>0</v>
      </c>
      <c r="I1441" s="56">
        <v>0</v>
      </c>
      <c r="J1441" s="51">
        <v>0</v>
      </c>
      <c r="K1441" s="50">
        <f t="shared" si="126"/>
        <v>0</v>
      </c>
      <c r="L1441" s="52">
        <f t="shared" si="127"/>
        <v>0</v>
      </c>
    </row>
    <row r="1442" spans="3:12" s="53" customFormat="1" ht="39.6" customHeight="1">
      <c r="C1442" s="154" t="s">
        <v>809</v>
      </c>
      <c r="D1442" s="135" t="s">
        <v>826</v>
      </c>
      <c r="E1442" s="136" t="s">
        <v>921</v>
      </c>
      <c r="F1442" s="137" t="s">
        <v>378</v>
      </c>
      <c r="G1442" s="138">
        <v>100</v>
      </c>
      <c r="H1442" s="51">
        <v>0</v>
      </c>
      <c r="I1442" s="56">
        <v>0</v>
      </c>
      <c r="J1442" s="51">
        <v>0</v>
      </c>
      <c r="K1442" s="50">
        <f t="shared" si="126"/>
        <v>0</v>
      </c>
      <c r="L1442" s="52">
        <f t="shared" si="127"/>
        <v>0</v>
      </c>
    </row>
    <row r="1443" spans="3:12" s="53" customFormat="1" ht="39.6" customHeight="1">
      <c r="C1443" s="154" t="s">
        <v>810</v>
      </c>
      <c r="D1443" s="135" t="s">
        <v>837</v>
      </c>
      <c r="E1443" s="136" t="s">
        <v>352</v>
      </c>
      <c r="F1443" s="137" t="s">
        <v>378</v>
      </c>
      <c r="G1443" s="138">
        <v>5</v>
      </c>
      <c r="H1443" s="51">
        <v>0</v>
      </c>
      <c r="I1443" s="56">
        <v>0</v>
      </c>
      <c r="J1443" s="51">
        <v>0</v>
      </c>
      <c r="K1443" s="50">
        <f t="shared" si="126"/>
        <v>0</v>
      </c>
      <c r="L1443" s="52">
        <f t="shared" si="127"/>
        <v>0</v>
      </c>
    </row>
    <row r="1444" spans="3:12" s="53" customFormat="1" ht="39.6" customHeight="1">
      <c r="C1444" s="154" t="s">
        <v>816</v>
      </c>
      <c r="D1444" s="135" t="s">
        <v>838</v>
      </c>
      <c r="E1444" s="136" t="s">
        <v>352</v>
      </c>
      <c r="F1444" s="137" t="s">
        <v>378</v>
      </c>
      <c r="G1444" s="138">
        <v>4</v>
      </c>
      <c r="H1444" s="51">
        <v>0</v>
      </c>
      <c r="I1444" s="56">
        <v>0</v>
      </c>
      <c r="J1444" s="51">
        <v>0</v>
      </c>
      <c r="K1444" s="50">
        <f t="shared" si="126"/>
        <v>0</v>
      </c>
      <c r="L1444" s="52">
        <f t="shared" si="127"/>
        <v>0</v>
      </c>
    </row>
    <row r="1445" spans="3:12" s="53" customFormat="1" ht="39.6" customHeight="1">
      <c r="C1445" s="154" t="s">
        <v>817</v>
      </c>
      <c r="D1445" s="135" t="s">
        <v>839</v>
      </c>
      <c r="E1445" s="136" t="s">
        <v>352</v>
      </c>
      <c r="F1445" s="137" t="s">
        <v>378</v>
      </c>
      <c r="G1445" s="138">
        <v>2</v>
      </c>
      <c r="H1445" s="51">
        <v>0</v>
      </c>
      <c r="I1445" s="56">
        <v>0</v>
      </c>
      <c r="J1445" s="51">
        <v>0</v>
      </c>
      <c r="K1445" s="50">
        <f t="shared" si="126"/>
        <v>0</v>
      </c>
      <c r="L1445" s="52">
        <f t="shared" si="127"/>
        <v>0</v>
      </c>
    </row>
    <row r="1446" spans="3:12" s="53" customFormat="1" ht="39.6" customHeight="1">
      <c r="C1446" s="154" t="s">
        <v>818</v>
      </c>
      <c r="D1446" s="135" t="s">
        <v>840</v>
      </c>
      <c r="E1446" s="136" t="s">
        <v>922</v>
      </c>
      <c r="F1446" s="137" t="s">
        <v>387</v>
      </c>
      <c r="G1446" s="138">
        <v>4</v>
      </c>
      <c r="H1446" s="51">
        <v>0</v>
      </c>
      <c r="I1446" s="56">
        <v>0</v>
      </c>
      <c r="J1446" s="51">
        <v>0</v>
      </c>
      <c r="K1446" s="50">
        <f t="shared" si="126"/>
        <v>0</v>
      </c>
      <c r="L1446" s="52">
        <f t="shared" si="127"/>
        <v>0</v>
      </c>
    </row>
    <row r="1447" spans="3:12" s="53" customFormat="1" ht="36.6" customHeight="1">
      <c r="C1447" s="154" t="s">
        <v>819</v>
      </c>
      <c r="D1447" s="135" t="s">
        <v>941</v>
      </c>
      <c r="E1447" s="136" t="s">
        <v>923</v>
      </c>
      <c r="F1447" s="137" t="s">
        <v>387</v>
      </c>
      <c r="G1447" s="138">
        <v>10</v>
      </c>
      <c r="H1447" s="51">
        <v>0</v>
      </c>
      <c r="I1447" s="56">
        <v>0</v>
      </c>
      <c r="J1447" s="51">
        <v>0</v>
      </c>
      <c r="K1447" s="50">
        <f t="shared" si="126"/>
        <v>0</v>
      </c>
      <c r="L1447" s="52">
        <f t="shared" si="127"/>
        <v>0</v>
      </c>
    </row>
    <row r="1448" spans="3:12" s="53" customFormat="1" ht="36.6" customHeight="1">
      <c r="C1448" s="154" t="s">
        <v>820</v>
      </c>
      <c r="D1448" s="135" t="s">
        <v>901</v>
      </c>
      <c r="E1448" s="136" t="s">
        <v>923</v>
      </c>
      <c r="F1448" s="137" t="s">
        <v>387</v>
      </c>
      <c r="G1448" s="138">
        <v>12</v>
      </c>
      <c r="H1448" s="51">
        <v>0</v>
      </c>
      <c r="I1448" s="56">
        <v>0</v>
      </c>
      <c r="J1448" s="51">
        <v>0</v>
      </c>
      <c r="K1448" s="50">
        <f t="shared" si="126"/>
        <v>0</v>
      </c>
      <c r="L1448" s="52">
        <f t="shared" si="127"/>
        <v>0</v>
      </c>
    </row>
    <row r="1449" spans="3:12" s="53" customFormat="1" ht="36.6" customHeight="1">
      <c r="C1449" s="154" t="s">
        <v>821</v>
      </c>
      <c r="D1449" s="135" t="s">
        <v>902</v>
      </c>
      <c r="E1449" s="136" t="s">
        <v>923</v>
      </c>
      <c r="F1449" s="137" t="s">
        <v>811</v>
      </c>
      <c r="G1449" s="138">
        <v>1</v>
      </c>
      <c r="H1449" s="51">
        <v>0</v>
      </c>
      <c r="I1449" s="56">
        <v>0</v>
      </c>
      <c r="J1449" s="51">
        <v>0</v>
      </c>
      <c r="K1449" s="50">
        <f t="shared" si="126"/>
        <v>0</v>
      </c>
      <c r="L1449" s="52">
        <f t="shared" si="127"/>
        <v>0</v>
      </c>
    </row>
    <row r="1450" spans="3:12" s="53" customFormat="1" ht="36.6" customHeight="1">
      <c r="C1450" s="154" t="s">
        <v>822</v>
      </c>
      <c r="D1450" s="135" t="s">
        <v>917</v>
      </c>
      <c r="E1450" s="136" t="s">
        <v>924</v>
      </c>
      <c r="F1450" s="137" t="s">
        <v>378</v>
      </c>
      <c r="G1450" s="138">
        <v>300</v>
      </c>
      <c r="H1450" s="51">
        <v>0</v>
      </c>
      <c r="I1450" s="56">
        <v>0</v>
      </c>
      <c r="J1450" s="51">
        <v>0</v>
      </c>
      <c r="K1450" s="50">
        <f t="shared" si="126"/>
        <v>0</v>
      </c>
      <c r="L1450" s="52">
        <f t="shared" si="127"/>
        <v>0</v>
      </c>
    </row>
    <row r="1451" spans="3:12" s="53" customFormat="1" ht="36.6" customHeight="1">
      <c r="C1451" s="154" t="s">
        <v>903</v>
      </c>
      <c r="D1451" s="135" t="s">
        <v>971</v>
      </c>
      <c r="E1451" s="136" t="s">
        <v>1014</v>
      </c>
      <c r="F1451" s="137" t="s">
        <v>378</v>
      </c>
      <c r="G1451" s="138">
        <v>500</v>
      </c>
      <c r="H1451" s="51">
        <v>0</v>
      </c>
      <c r="I1451" s="56">
        <v>0</v>
      </c>
      <c r="J1451" s="51">
        <v>0</v>
      </c>
      <c r="K1451" s="50">
        <f t="shared" si="126"/>
        <v>0</v>
      </c>
      <c r="L1451" s="52">
        <f t="shared" si="127"/>
        <v>0</v>
      </c>
    </row>
    <row r="1452" spans="3:12" s="53" customFormat="1" ht="36.6" customHeight="1">
      <c r="C1452" s="154"/>
      <c r="D1452" s="135"/>
      <c r="E1452" s="136"/>
      <c r="F1452" s="137"/>
      <c r="G1452" s="138"/>
      <c r="H1452" s="131"/>
      <c r="I1452" s="132"/>
      <c r="J1452" s="131"/>
      <c r="K1452" s="133"/>
      <c r="L1452" s="134"/>
    </row>
    <row r="1453" spans="3:12" s="53" customFormat="1" ht="36.6" customHeight="1">
      <c r="C1453" s="154" t="s">
        <v>1878</v>
      </c>
      <c r="D1453" s="135" t="s">
        <v>1879</v>
      </c>
      <c r="E1453" s="136"/>
      <c r="F1453" s="137"/>
      <c r="G1453" s="138"/>
      <c r="H1453" s="131"/>
      <c r="I1453" s="132"/>
      <c r="J1453" s="131"/>
      <c r="K1453" s="133"/>
      <c r="L1453" s="134"/>
    </row>
    <row r="1454" spans="3:12" s="53" customFormat="1" ht="36.6" customHeight="1">
      <c r="C1454" s="154"/>
      <c r="D1454" s="135"/>
      <c r="E1454" s="136"/>
      <c r="F1454" s="137"/>
      <c r="G1454" s="138"/>
      <c r="H1454" s="131"/>
      <c r="I1454" s="132"/>
      <c r="J1454" s="131"/>
      <c r="K1454" s="133"/>
      <c r="L1454" s="134"/>
    </row>
    <row r="1455" spans="3:12" s="53" customFormat="1" ht="36.6" customHeight="1">
      <c r="C1455" s="154" t="s">
        <v>1877</v>
      </c>
      <c r="D1455" s="135" t="s">
        <v>1875</v>
      </c>
      <c r="E1455" s="136" t="s">
        <v>1900</v>
      </c>
      <c r="F1455" s="137" t="s">
        <v>378</v>
      </c>
      <c r="G1455" s="138">
        <v>1</v>
      </c>
      <c r="H1455" s="51">
        <v>0</v>
      </c>
      <c r="I1455" s="56">
        <v>0</v>
      </c>
      <c r="J1455" s="51">
        <v>0</v>
      </c>
      <c r="K1455" s="50">
        <f t="shared" ref="K1455:K1484" si="128">+H1455+I1455+J1455</f>
        <v>0</v>
      </c>
      <c r="L1455" s="52">
        <f t="shared" ref="L1455:L1484" si="129">+K1455*G1455</f>
        <v>0</v>
      </c>
    </row>
    <row r="1456" spans="3:12" s="53" customFormat="1" ht="36.6" customHeight="1">
      <c r="C1456" s="154" t="s">
        <v>1903</v>
      </c>
      <c r="D1456" s="135" t="s">
        <v>1018</v>
      </c>
      <c r="E1456" s="136" t="s">
        <v>1901</v>
      </c>
      <c r="F1456" s="137" t="s">
        <v>378</v>
      </c>
      <c r="G1456" s="138">
        <v>3</v>
      </c>
      <c r="H1456" s="51">
        <v>0</v>
      </c>
      <c r="I1456" s="56">
        <v>0</v>
      </c>
      <c r="J1456" s="51">
        <v>0</v>
      </c>
      <c r="K1456" s="50">
        <f t="shared" si="128"/>
        <v>0</v>
      </c>
      <c r="L1456" s="52">
        <f t="shared" si="129"/>
        <v>0</v>
      </c>
    </row>
    <row r="1457" spans="3:12" s="53" customFormat="1" ht="36.6" customHeight="1">
      <c r="C1457" s="154" t="s">
        <v>1904</v>
      </c>
      <c r="D1457" s="135" t="s">
        <v>1876</v>
      </c>
      <c r="E1457" s="136" t="s">
        <v>1900</v>
      </c>
      <c r="F1457" s="137" t="s">
        <v>378</v>
      </c>
      <c r="G1457" s="138">
        <v>3</v>
      </c>
      <c r="H1457" s="51">
        <v>0</v>
      </c>
      <c r="I1457" s="56">
        <v>0</v>
      </c>
      <c r="J1457" s="51">
        <v>0</v>
      </c>
      <c r="K1457" s="50">
        <f t="shared" si="128"/>
        <v>0</v>
      </c>
      <c r="L1457" s="52">
        <f t="shared" si="129"/>
        <v>0</v>
      </c>
    </row>
    <row r="1458" spans="3:12" s="53" customFormat="1" ht="36.6" customHeight="1">
      <c r="C1458" s="154" t="s">
        <v>1905</v>
      </c>
      <c r="D1458" s="135" t="s">
        <v>1022</v>
      </c>
      <c r="E1458" s="48" t="s">
        <v>2125</v>
      </c>
      <c r="F1458" s="137" t="s">
        <v>378</v>
      </c>
      <c r="G1458" s="138">
        <v>1</v>
      </c>
      <c r="H1458" s="51">
        <v>0</v>
      </c>
      <c r="I1458" s="56">
        <v>0</v>
      </c>
      <c r="J1458" s="51">
        <v>0</v>
      </c>
      <c r="K1458" s="50">
        <f t="shared" si="128"/>
        <v>0</v>
      </c>
      <c r="L1458" s="52">
        <f t="shared" si="129"/>
        <v>0</v>
      </c>
    </row>
    <row r="1459" spans="3:12" s="53" customFormat="1" ht="36.6" customHeight="1">
      <c r="C1459" s="154" t="s">
        <v>1906</v>
      </c>
      <c r="D1459" s="135" t="s">
        <v>1880</v>
      </c>
      <c r="E1459" s="48" t="s">
        <v>2126</v>
      </c>
      <c r="F1459" s="137" t="s">
        <v>378</v>
      </c>
      <c r="G1459" s="138">
        <v>3</v>
      </c>
      <c r="H1459" s="51">
        <v>0</v>
      </c>
      <c r="I1459" s="56">
        <v>0</v>
      </c>
      <c r="J1459" s="51">
        <v>0</v>
      </c>
      <c r="K1459" s="50">
        <f t="shared" si="128"/>
        <v>0</v>
      </c>
      <c r="L1459" s="52">
        <f t="shared" si="129"/>
        <v>0</v>
      </c>
    </row>
    <row r="1460" spans="3:12" s="53" customFormat="1" ht="36.6" customHeight="1">
      <c r="C1460" s="154" t="s">
        <v>1907</v>
      </c>
      <c r="D1460" s="135" t="s">
        <v>1881</v>
      </c>
      <c r="E1460" s="48" t="s">
        <v>2126</v>
      </c>
      <c r="F1460" s="137" t="s">
        <v>378</v>
      </c>
      <c r="G1460" s="138">
        <v>1</v>
      </c>
      <c r="H1460" s="51">
        <v>0</v>
      </c>
      <c r="I1460" s="56">
        <v>0</v>
      </c>
      <c r="J1460" s="51">
        <v>0</v>
      </c>
      <c r="K1460" s="50">
        <f t="shared" si="128"/>
        <v>0</v>
      </c>
      <c r="L1460" s="52">
        <f t="shared" si="129"/>
        <v>0</v>
      </c>
    </row>
    <row r="1461" spans="3:12" s="53" customFormat="1" ht="36.6" customHeight="1">
      <c r="C1461" s="154" t="s">
        <v>1908</v>
      </c>
      <c r="D1461" s="135" t="s">
        <v>1882</v>
      </c>
      <c r="E1461" s="136" t="s">
        <v>1900</v>
      </c>
      <c r="F1461" s="137" t="s">
        <v>378</v>
      </c>
      <c r="G1461" s="138">
        <v>10</v>
      </c>
      <c r="H1461" s="51">
        <v>0</v>
      </c>
      <c r="I1461" s="56">
        <v>0</v>
      </c>
      <c r="J1461" s="51">
        <v>0</v>
      </c>
      <c r="K1461" s="50">
        <f t="shared" si="128"/>
        <v>0</v>
      </c>
      <c r="L1461" s="52">
        <f t="shared" si="129"/>
        <v>0</v>
      </c>
    </row>
    <row r="1462" spans="3:12" s="53" customFormat="1" ht="36.6" customHeight="1">
      <c r="C1462" s="154" t="s">
        <v>1909</v>
      </c>
      <c r="D1462" s="135" t="s">
        <v>1883</v>
      </c>
      <c r="E1462" s="136" t="s">
        <v>1900</v>
      </c>
      <c r="F1462" s="137" t="s">
        <v>378</v>
      </c>
      <c r="G1462" s="138">
        <v>2</v>
      </c>
      <c r="H1462" s="51">
        <v>0</v>
      </c>
      <c r="I1462" s="56">
        <v>0</v>
      </c>
      <c r="J1462" s="51">
        <v>0</v>
      </c>
      <c r="K1462" s="50">
        <f t="shared" si="128"/>
        <v>0</v>
      </c>
      <c r="L1462" s="52">
        <f t="shared" si="129"/>
        <v>0</v>
      </c>
    </row>
    <row r="1463" spans="3:12" s="53" customFormat="1" ht="36.6" customHeight="1">
      <c r="C1463" s="154" t="s">
        <v>1910</v>
      </c>
      <c r="D1463" s="135" t="s">
        <v>1884</v>
      </c>
      <c r="E1463" s="136" t="s">
        <v>1900</v>
      </c>
      <c r="F1463" s="137" t="s">
        <v>378</v>
      </c>
      <c r="G1463" s="138">
        <v>3</v>
      </c>
      <c r="H1463" s="51">
        <v>0</v>
      </c>
      <c r="I1463" s="56">
        <v>0</v>
      </c>
      <c r="J1463" s="51">
        <v>0</v>
      </c>
      <c r="K1463" s="50">
        <f t="shared" si="128"/>
        <v>0</v>
      </c>
      <c r="L1463" s="52">
        <f t="shared" si="129"/>
        <v>0</v>
      </c>
    </row>
    <row r="1464" spans="3:12" s="53" customFormat="1" ht="36.6" customHeight="1">
      <c r="C1464" s="154" t="s">
        <v>1911</v>
      </c>
      <c r="D1464" s="135" t="s">
        <v>1885</v>
      </c>
      <c r="E1464" s="136" t="s">
        <v>1900</v>
      </c>
      <c r="F1464" s="137" t="s">
        <v>378</v>
      </c>
      <c r="G1464" s="138">
        <v>44</v>
      </c>
      <c r="H1464" s="51">
        <v>0</v>
      </c>
      <c r="I1464" s="56">
        <v>0</v>
      </c>
      <c r="J1464" s="51">
        <v>0</v>
      </c>
      <c r="K1464" s="50">
        <f t="shared" si="128"/>
        <v>0</v>
      </c>
      <c r="L1464" s="52">
        <f t="shared" si="129"/>
        <v>0</v>
      </c>
    </row>
    <row r="1465" spans="3:12" s="53" customFormat="1" ht="36.6" customHeight="1">
      <c r="C1465" s="154" t="s">
        <v>1912</v>
      </c>
      <c r="D1465" s="135" t="s">
        <v>1886</v>
      </c>
      <c r="E1465" s="136" t="s">
        <v>1900</v>
      </c>
      <c r="F1465" s="137" t="s">
        <v>378</v>
      </c>
      <c r="G1465" s="138">
        <v>1</v>
      </c>
      <c r="H1465" s="51">
        <v>0</v>
      </c>
      <c r="I1465" s="56">
        <v>0</v>
      </c>
      <c r="J1465" s="51">
        <v>0</v>
      </c>
      <c r="K1465" s="50">
        <f t="shared" si="128"/>
        <v>0</v>
      </c>
      <c r="L1465" s="52">
        <f t="shared" si="129"/>
        <v>0</v>
      </c>
    </row>
    <row r="1466" spans="3:12" s="53" customFormat="1" ht="36.6" customHeight="1">
      <c r="C1466" s="154" t="s">
        <v>1913</v>
      </c>
      <c r="D1466" s="135" t="s">
        <v>1887</v>
      </c>
      <c r="E1466" s="136" t="s">
        <v>1900</v>
      </c>
      <c r="F1466" s="137" t="s">
        <v>378</v>
      </c>
      <c r="G1466" s="138">
        <v>1</v>
      </c>
      <c r="H1466" s="51">
        <v>0</v>
      </c>
      <c r="I1466" s="56">
        <v>0</v>
      </c>
      <c r="J1466" s="51">
        <v>0</v>
      </c>
      <c r="K1466" s="50">
        <f t="shared" si="128"/>
        <v>0</v>
      </c>
      <c r="L1466" s="52">
        <f t="shared" si="129"/>
        <v>0</v>
      </c>
    </row>
    <row r="1467" spans="3:12" s="53" customFormat="1" ht="36.6" customHeight="1">
      <c r="C1467" s="154" t="s">
        <v>1914</v>
      </c>
      <c r="D1467" s="135" t="s">
        <v>1876</v>
      </c>
      <c r="E1467" s="136" t="s">
        <v>1900</v>
      </c>
      <c r="F1467" s="137" t="s">
        <v>378</v>
      </c>
      <c r="G1467" s="138">
        <v>7</v>
      </c>
      <c r="H1467" s="51">
        <v>0</v>
      </c>
      <c r="I1467" s="56">
        <v>0</v>
      </c>
      <c r="J1467" s="51">
        <v>0</v>
      </c>
      <c r="K1467" s="50">
        <f t="shared" si="128"/>
        <v>0</v>
      </c>
      <c r="L1467" s="52">
        <f t="shared" si="129"/>
        <v>0</v>
      </c>
    </row>
    <row r="1468" spans="3:12" s="53" customFormat="1" ht="36.6" customHeight="1">
      <c r="C1468" s="154" t="s">
        <v>1915</v>
      </c>
      <c r="D1468" s="135" t="s">
        <v>1888</v>
      </c>
      <c r="E1468" s="136" t="s">
        <v>1900</v>
      </c>
      <c r="F1468" s="137" t="s">
        <v>378</v>
      </c>
      <c r="G1468" s="138">
        <v>3</v>
      </c>
      <c r="H1468" s="51">
        <v>0</v>
      </c>
      <c r="I1468" s="56">
        <v>0</v>
      </c>
      <c r="J1468" s="51">
        <v>0</v>
      </c>
      <c r="K1468" s="50">
        <f t="shared" si="128"/>
        <v>0</v>
      </c>
      <c r="L1468" s="52">
        <f t="shared" si="129"/>
        <v>0</v>
      </c>
    </row>
    <row r="1469" spans="3:12" s="53" customFormat="1" ht="36.6" customHeight="1">
      <c r="C1469" s="154" t="s">
        <v>1916</v>
      </c>
      <c r="D1469" s="135" t="s">
        <v>1889</v>
      </c>
      <c r="E1469" s="136" t="s">
        <v>1900</v>
      </c>
      <c r="F1469" s="137" t="s">
        <v>378</v>
      </c>
      <c r="G1469" s="138">
        <v>2</v>
      </c>
      <c r="H1469" s="51">
        <v>0</v>
      </c>
      <c r="I1469" s="56">
        <v>0</v>
      </c>
      <c r="J1469" s="51">
        <v>0</v>
      </c>
      <c r="K1469" s="50">
        <f t="shared" si="128"/>
        <v>0</v>
      </c>
      <c r="L1469" s="52">
        <f t="shared" si="129"/>
        <v>0</v>
      </c>
    </row>
    <row r="1470" spans="3:12" s="53" customFormat="1" ht="36.6" customHeight="1">
      <c r="C1470" s="154" t="s">
        <v>1917</v>
      </c>
      <c r="D1470" s="135" t="s">
        <v>1890</v>
      </c>
      <c r="E1470" s="136" t="s">
        <v>1900</v>
      </c>
      <c r="F1470" s="137" t="s">
        <v>378</v>
      </c>
      <c r="G1470" s="138">
        <v>5</v>
      </c>
      <c r="H1470" s="51">
        <v>0</v>
      </c>
      <c r="I1470" s="56">
        <v>0</v>
      </c>
      <c r="J1470" s="51">
        <v>0</v>
      </c>
      <c r="K1470" s="50">
        <f t="shared" si="128"/>
        <v>0</v>
      </c>
      <c r="L1470" s="52">
        <f t="shared" si="129"/>
        <v>0</v>
      </c>
    </row>
    <row r="1471" spans="3:12" s="53" customFormat="1" ht="36.6" customHeight="1">
      <c r="C1471" s="154" t="s">
        <v>1918</v>
      </c>
      <c r="D1471" s="135" t="s">
        <v>1891</v>
      </c>
      <c r="E1471" s="136" t="s">
        <v>1900</v>
      </c>
      <c r="F1471" s="137" t="s">
        <v>378</v>
      </c>
      <c r="G1471" s="138">
        <v>2</v>
      </c>
      <c r="H1471" s="51">
        <v>0</v>
      </c>
      <c r="I1471" s="56">
        <v>0</v>
      </c>
      <c r="J1471" s="51">
        <v>0</v>
      </c>
      <c r="K1471" s="50">
        <f t="shared" si="128"/>
        <v>0</v>
      </c>
      <c r="L1471" s="52">
        <f t="shared" si="129"/>
        <v>0</v>
      </c>
    </row>
    <row r="1472" spans="3:12" s="53" customFormat="1" ht="36.6" customHeight="1">
      <c r="C1472" s="154" t="s">
        <v>1919</v>
      </c>
      <c r="D1472" s="135" t="s">
        <v>1151</v>
      </c>
      <c r="E1472" s="136" t="s">
        <v>2118</v>
      </c>
      <c r="F1472" s="137" t="s">
        <v>378</v>
      </c>
      <c r="G1472" s="138">
        <v>1</v>
      </c>
      <c r="H1472" s="51">
        <v>0</v>
      </c>
      <c r="I1472" s="56">
        <v>0</v>
      </c>
      <c r="J1472" s="51">
        <v>0</v>
      </c>
      <c r="K1472" s="50">
        <f t="shared" si="128"/>
        <v>0</v>
      </c>
      <c r="L1472" s="52">
        <f t="shared" si="129"/>
        <v>0</v>
      </c>
    </row>
    <row r="1473" spans="3:12" s="53" customFormat="1" ht="36.6" customHeight="1">
      <c r="C1473" s="154" t="s">
        <v>1920</v>
      </c>
      <c r="D1473" s="135" t="s">
        <v>1892</v>
      </c>
      <c r="E1473" s="136" t="s">
        <v>353</v>
      </c>
      <c r="F1473" s="137" t="s">
        <v>378</v>
      </c>
      <c r="G1473" s="138">
        <v>4</v>
      </c>
      <c r="H1473" s="51">
        <v>0</v>
      </c>
      <c r="I1473" s="56">
        <v>0</v>
      </c>
      <c r="J1473" s="51">
        <v>0</v>
      </c>
      <c r="K1473" s="50">
        <f t="shared" si="128"/>
        <v>0</v>
      </c>
      <c r="L1473" s="52">
        <f t="shared" si="129"/>
        <v>0</v>
      </c>
    </row>
    <row r="1474" spans="3:12" s="53" customFormat="1" ht="36.6" customHeight="1">
      <c r="C1474" s="154" t="s">
        <v>1921</v>
      </c>
      <c r="D1474" s="135" t="s">
        <v>1033</v>
      </c>
      <c r="E1474" s="136" t="s">
        <v>353</v>
      </c>
      <c r="F1474" s="137" t="s">
        <v>378</v>
      </c>
      <c r="G1474" s="138">
        <v>1</v>
      </c>
      <c r="H1474" s="51">
        <v>0</v>
      </c>
      <c r="I1474" s="56">
        <v>0</v>
      </c>
      <c r="J1474" s="51">
        <v>0</v>
      </c>
      <c r="K1474" s="50">
        <f t="shared" si="128"/>
        <v>0</v>
      </c>
      <c r="L1474" s="52">
        <f t="shared" si="129"/>
        <v>0</v>
      </c>
    </row>
    <row r="1475" spans="3:12" s="53" customFormat="1" ht="36.6" customHeight="1">
      <c r="C1475" s="154" t="s">
        <v>1922</v>
      </c>
      <c r="D1475" s="135" t="s">
        <v>1893</v>
      </c>
      <c r="E1475" s="136" t="s">
        <v>1900</v>
      </c>
      <c r="F1475" s="137" t="s">
        <v>378</v>
      </c>
      <c r="G1475" s="138">
        <v>1</v>
      </c>
      <c r="H1475" s="51">
        <v>0</v>
      </c>
      <c r="I1475" s="56">
        <v>0</v>
      </c>
      <c r="J1475" s="51">
        <v>0</v>
      </c>
      <c r="K1475" s="50">
        <f t="shared" si="128"/>
        <v>0</v>
      </c>
      <c r="L1475" s="52">
        <f t="shared" si="129"/>
        <v>0</v>
      </c>
    </row>
    <row r="1476" spans="3:12" s="53" customFormat="1" ht="36.6" customHeight="1">
      <c r="C1476" s="154" t="s">
        <v>1923</v>
      </c>
      <c r="D1476" s="135" t="s">
        <v>1894</v>
      </c>
      <c r="E1476" s="136" t="s">
        <v>1900</v>
      </c>
      <c r="F1476" s="137" t="s">
        <v>378</v>
      </c>
      <c r="G1476" s="138">
        <v>1</v>
      </c>
      <c r="H1476" s="51">
        <v>0</v>
      </c>
      <c r="I1476" s="56">
        <v>0</v>
      </c>
      <c r="J1476" s="51">
        <v>0</v>
      </c>
      <c r="K1476" s="50">
        <f t="shared" si="128"/>
        <v>0</v>
      </c>
      <c r="L1476" s="52">
        <f t="shared" si="129"/>
        <v>0</v>
      </c>
    </row>
    <row r="1477" spans="3:12" s="53" customFormat="1" ht="36.6" customHeight="1">
      <c r="C1477" s="154" t="s">
        <v>1924</v>
      </c>
      <c r="D1477" s="135" t="s">
        <v>1895</v>
      </c>
      <c r="E1477" s="136" t="s">
        <v>1900</v>
      </c>
      <c r="F1477" s="137" t="s">
        <v>378</v>
      </c>
      <c r="G1477" s="138">
        <v>1</v>
      </c>
      <c r="H1477" s="51">
        <v>0</v>
      </c>
      <c r="I1477" s="56">
        <v>0</v>
      </c>
      <c r="J1477" s="51">
        <v>0</v>
      </c>
      <c r="K1477" s="50">
        <f t="shared" si="128"/>
        <v>0</v>
      </c>
      <c r="L1477" s="52">
        <f t="shared" si="129"/>
        <v>0</v>
      </c>
    </row>
    <row r="1478" spans="3:12" s="53" customFormat="1" ht="36.6" customHeight="1">
      <c r="C1478" s="154" t="s">
        <v>1925</v>
      </c>
      <c r="D1478" s="135" t="s">
        <v>1896</v>
      </c>
      <c r="E1478" s="136" t="s">
        <v>1900</v>
      </c>
      <c r="F1478" s="137" t="s">
        <v>378</v>
      </c>
      <c r="G1478" s="138">
        <v>1</v>
      </c>
      <c r="H1478" s="51">
        <v>0</v>
      </c>
      <c r="I1478" s="56">
        <v>0</v>
      </c>
      <c r="J1478" s="51">
        <v>0</v>
      </c>
      <c r="K1478" s="50">
        <f t="shared" si="128"/>
        <v>0</v>
      </c>
      <c r="L1478" s="52">
        <f t="shared" si="129"/>
        <v>0</v>
      </c>
    </row>
    <row r="1479" spans="3:12" s="53" customFormat="1" ht="36.6" customHeight="1">
      <c r="C1479" s="154" t="s">
        <v>1926</v>
      </c>
      <c r="D1479" s="135" t="s">
        <v>1897</v>
      </c>
      <c r="E1479" s="136" t="s">
        <v>1901</v>
      </c>
      <c r="F1479" s="137" t="s">
        <v>378</v>
      </c>
      <c r="G1479" s="138">
        <v>1</v>
      </c>
      <c r="H1479" s="51">
        <v>0</v>
      </c>
      <c r="I1479" s="56">
        <v>0</v>
      </c>
      <c r="J1479" s="51">
        <v>0</v>
      </c>
      <c r="K1479" s="50">
        <f t="shared" si="128"/>
        <v>0</v>
      </c>
      <c r="L1479" s="52">
        <f t="shared" si="129"/>
        <v>0</v>
      </c>
    </row>
    <row r="1480" spans="3:12" s="53" customFormat="1" ht="36.6" customHeight="1">
      <c r="C1480" s="154" t="s">
        <v>1927</v>
      </c>
      <c r="D1480" s="135" t="s">
        <v>1898</v>
      </c>
      <c r="E1480" s="136" t="s">
        <v>1901</v>
      </c>
      <c r="F1480" s="137" t="s">
        <v>378</v>
      </c>
      <c r="G1480" s="138">
        <v>1</v>
      </c>
      <c r="H1480" s="51">
        <v>0</v>
      </c>
      <c r="I1480" s="56">
        <v>0</v>
      </c>
      <c r="J1480" s="51">
        <v>0</v>
      </c>
      <c r="K1480" s="50">
        <f t="shared" si="128"/>
        <v>0</v>
      </c>
      <c r="L1480" s="52">
        <f t="shared" si="129"/>
        <v>0</v>
      </c>
    </row>
    <row r="1481" spans="3:12" s="53" customFormat="1" ht="36.6" customHeight="1">
      <c r="C1481" s="154" t="s">
        <v>1928</v>
      </c>
      <c r="D1481" s="135" t="s">
        <v>1037</v>
      </c>
      <c r="E1481" s="136" t="s">
        <v>2124</v>
      </c>
      <c r="F1481" s="137" t="s">
        <v>26</v>
      </c>
      <c r="G1481" s="138">
        <v>8</v>
      </c>
      <c r="H1481" s="51">
        <v>0</v>
      </c>
      <c r="I1481" s="56">
        <v>0</v>
      </c>
      <c r="J1481" s="51">
        <v>0</v>
      </c>
      <c r="K1481" s="50">
        <f t="shared" si="128"/>
        <v>0</v>
      </c>
      <c r="L1481" s="52">
        <f t="shared" si="129"/>
        <v>0</v>
      </c>
    </row>
    <row r="1482" spans="3:12" s="53" customFormat="1" ht="36.6" customHeight="1">
      <c r="C1482" s="154" t="s">
        <v>1929</v>
      </c>
      <c r="D1482" s="135" t="s">
        <v>1761</v>
      </c>
      <c r="E1482" s="136" t="s">
        <v>2124</v>
      </c>
      <c r="F1482" s="137" t="s">
        <v>26</v>
      </c>
      <c r="G1482" s="138">
        <v>72</v>
      </c>
      <c r="H1482" s="51">
        <v>0</v>
      </c>
      <c r="I1482" s="56">
        <v>0</v>
      </c>
      <c r="J1482" s="51">
        <v>0</v>
      </c>
      <c r="K1482" s="50">
        <f t="shared" si="128"/>
        <v>0</v>
      </c>
      <c r="L1482" s="52">
        <f t="shared" si="129"/>
        <v>0</v>
      </c>
    </row>
    <row r="1483" spans="3:12" s="53" customFormat="1" ht="36.6" customHeight="1">
      <c r="C1483" s="154" t="s">
        <v>1930</v>
      </c>
      <c r="D1483" s="135" t="s">
        <v>1040</v>
      </c>
      <c r="E1483" s="136" t="s">
        <v>2124</v>
      </c>
      <c r="F1483" s="137" t="s">
        <v>26</v>
      </c>
      <c r="G1483" s="138">
        <v>2</v>
      </c>
      <c r="H1483" s="51">
        <v>0</v>
      </c>
      <c r="I1483" s="56">
        <v>0</v>
      </c>
      <c r="J1483" s="51">
        <v>0</v>
      </c>
      <c r="K1483" s="50">
        <f t="shared" si="128"/>
        <v>0</v>
      </c>
      <c r="L1483" s="52">
        <f t="shared" si="129"/>
        <v>0</v>
      </c>
    </row>
    <row r="1484" spans="3:12" s="53" customFormat="1" ht="36.6" customHeight="1">
      <c r="C1484" s="154" t="s">
        <v>1931</v>
      </c>
      <c r="D1484" s="135" t="s">
        <v>1899</v>
      </c>
      <c r="E1484" s="136" t="s">
        <v>1902</v>
      </c>
      <c r="F1484" s="137" t="s">
        <v>26</v>
      </c>
      <c r="G1484" s="138">
        <v>1</v>
      </c>
      <c r="H1484" s="51">
        <v>0</v>
      </c>
      <c r="I1484" s="56">
        <v>0</v>
      </c>
      <c r="J1484" s="51">
        <v>0</v>
      </c>
      <c r="K1484" s="50">
        <f t="shared" si="128"/>
        <v>0</v>
      </c>
      <c r="L1484" s="52">
        <f t="shared" si="129"/>
        <v>0</v>
      </c>
    </row>
    <row r="1485" spans="3:12" s="53" customFormat="1" ht="23.45" customHeight="1">
      <c r="C1485" s="139"/>
      <c r="D1485" s="135"/>
      <c r="E1485" s="136"/>
      <c r="F1485" s="137"/>
      <c r="G1485" s="138"/>
      <c r="H1485" s="131"/>
      <c r="I1485" s="132"/>
      <c r="J1485" s="131"/>
      <c r="K1485" s="133"/>
      <c r="L1485" s="134"/>
    </row>
    <row r="1486" spans="3:12" s="53" customFormat="1" ht="23.45" customHeight="1">
      <c r="C1486" s="139" t="s">
        <v>1939</v>
      </c>
      <c r="D1486" s="135" t="s">
        <v>1932</v>
      </c>
      <c r="E1486" s="136"/>
      <c r="F1486" s="137"/>
      <c r="G1486" s="138"/>
      <c r="H1486" s="131"/>
      <c r="I1486" s="132"/>
      <c r="J1486" s="131"/>
      <c r="K1486" s="133"/>
      <c r="L1486" s="134"/>
    </row>
    <row r="1487" spans="3:12" s="53" customFormat="1" ht="23.45" customHeight="1">
      <c r="C1487" s="139"/>
      <c r="D1487" s="135"/>
      <c r="E1487" s="136"/>
      <c r="F1487" s="137"/>
      <c r="G1487" s="138"/>
      <c r="H1487" s="131"/>
      <c r="I1487" s="132"/>
      <c r="J1487" s="131"/>
      <c r="K1487" s="133"/>
      <c r="L1487" s="134"/>
    </row>
    <row r="1488" spans="3:12" s="53" customFormat="1" ht="23.45" customHeight="1">
      <c r="C1488" s="139" t="s">
        <v>1942</v>
      </c>
      <c r="D1488" s="135" t="s">
        <v>1933</v>
      </c>
      <c r="E1488" s="136" t="s">
        <v>1900</v>
      </c>
      <c r="F1488" s="137" t="s">
        <v>378</v>
      </c>
      <c r="G1488" s="138">
        <v>2</v>
      </c>
      <c r="H1488" s="51">
        <v>0</v>
      </c>
      <c r="I1488" s="56">
        <v>0</v>
      </c>
      <c r="J1488" s="51">
        <v>0</v>
      </c>
      <c r="K1488" s="50">
        <f t="shared" ref="K1488:K1502" si="130">+H1488+I1488+J1488</f>
        <v>0</v>
      </c>
      <c r="L1488" s="52">
        <f t="shared" ref="L1488:L1502" si="131">+K1488*G1488</f>
        <v>0</v>
      </c>
    </row>
    <row r="1489" spans="3:12" s="53" customFormat="1" ht="23.45" customHeight="1">
      <c r="C1489" s="139" t="s">
        <v>1943</v>
      </c>
      <c r="D1489" s="135" t="s">
        <v>1018</v>
      </c>
      <c r="E1489" s="136" t="s">
        <v>1937</v>
      </c>
      <c r="F1489" s="137" t="s">
        <v>378</v>
      </c>
      <c r="G1489" s="138">
        <v>3</v>
      </c>
      <c r="H1489" s="51">
        <v>0</v>
      </c>
      <c r="I1489" s="56">
        <v>0</v>
      </c>
      <c r="J1489" s="51">
        <v>0</v>
      </c>
      <c r="K1489" s="50">
        <f t="shared" si="130"/>
        <v>0</v>
      </c>
      <c r="L1489" s="52">
        <f t="shared" si="131"/>
        <v>0</v>
      </c>
    </row>
    <row r="1490" spans="3:12" s="53" customFormat="1" ht="23.45" customHeight="1">
      <c r="C1490" s="139" t="s">
        <v>1944</v>
      </c>
      <c r="D1490" s="135" t="s">
        <v>1876</v>
      </c>
      <c r="E1490" s="136" t="s">
        <v>1900</v>
      </c>
      <c r="F1490" s="137" t="s">
        <v>378</v>
      </c>
      <c r="G1490" s="138">
        <v>3</v>
      </c>
      <c r="H1490" s="51">
        <v>0</v>
      </c>
      <c r="I1490" s="56">
        <v>0</v>
      </c>
      <c r="J1490" s="51">
        <v>0</v>
      </c>
      <c r="K1490" s="50">
        <f t="shared" si="130"/>
        <v>0</v>
      </c>
      <c r="L1490" s="52">
        <f t="shared" si="131"/>
        <v>0</v>
      </c>
    </row>
    <row r="1491" spans="3:12" s="53" customFormat="1" ht="23.45" customHeight="1">
      <c r="C1491" s="139" t="s">
        <v>1945</v>
      </c>
      <c r="D1491" s="135" t="s">
        <v>1022</v>
      </c>
      <c r="E1491" s="48" t="s">
        <v>2125</v>
      </c>
      <c r="F1491" s="137" t="s">
        <v>378</v>
      </c>
      <c r="G1491" s="138">
        <v>1</v>
      </c>
      <c r="H1491" s="51">
        <v>0</v>
      </c>
      <c r="I1491" s="56">
        <v>0</v>
      </c>
      <c r="J1491" s="51">
        <v>0</v>
      </c>
      <c r="K1491" s="50">
        <f t="shared" si="130"/>
        <v>0</v>
      </c>
      <c r="L1491" s="52">
        <f t="shared" si="131"/>
        <v>0</v>
      </c>
    </row>
    <row r="1492" spans="3:12" s="53" customFormat="1" ht="23.45" customHeight="1">
      <c r="C1492" s="139" t="s">
        <v>1946</v>
      </c>
      <c r="D1492" s="135" t="s">
        <v>1021</v>
      </c>
      <c r="E1492" s="48" t="s">
        <v>2126</v>
      </c>
      <c r="F1492" s="137" t="s">
        <v>378</v>
      </c>
      <c r="G1492" s="138">
        <v>3</v>
      </c>
      <c r="H1492" s="51">
        <v>0</v>
      </c>
      <c r="I1492" s="56">
        <v>0</v>
      </c>
      <c r="J1492" s="51">
        <v>0</v>
      </c>
      <c r="K1492" s="50">
        <f t="shared" si="130"/>
        <v>0</v>
      </c>
      <c r="L1492" s="52">
        <f t="shared" si="131"/>
        <v>0</v>
      </c>
    </row>
    <row r="1493" spans="3:12" s="53" customFormat="1" ht="23.45" customHeight="1">
      <c r="C1493" s="139" t="s">
        <v>1947</v>
      </c>
      <c r="D1493" s="135" t="s">
        <v>1020</v>
      </c>
      <c r="E1493" s="48" t="s">
        <v>2126</v>
      </c>
      <c r="F1493" s="137" t="s">
        <v>378</v>
      </c>
      <c r="G1493" s="138">
        <v>1</v>
      </c>
      <c r="H1493" s="51">
        <v>0</v>
      </c>
      <c r="I1493" s="56">
        <v>0</v>
      </c>
      <c r="J1493" s="51">
        <v>0</v>
      </c>
      <c r="K1493" s="50">
        <f t="shared" si="130"/>
        <v>0</v>
      </c>
      <c r="L1493" s="52">
        <f t="shared" si="131"/>
        <v>0</v>
      </c>
    </row>
    <row r="1494" spans="3:12" s="53" customFormat="1" ht="23.45" customHeight="1">
      <c r="C1494" s="139" t="s">
        <v>1948</v>
      </c>
      <c r="D1494" s="135" t="s">
        <v>1442</v>
      </c>
      <c r="E1494" s="136" t="s">
        <v>1938</v>
      </c>
      <c r="F1494" s="137" t="s">
        <v>378</v>
      </c>
      <c r="G1494" s="138">
        <v>1</v>
      </c>
      <c r="H1494" s="51">
        <v>0</v>
      </c>
      <c r="I1494" s="56">
        <v>0</v>
      </c>
      <c r="J1494" s="51">
        <v>0</v>
      </c>
      <c r="K1494" s="50">
        <f t="shared" si="130"/>
        <v>0</v>
      </c>
      <c r="L1494" s="52">
        <f t="shared" si="131"/>
        <v>0</v>
      </c>
    </row>
    <row r="1495" spans="3:12" s="53" customFormat="1" ht="23.45" customHeight="1">
      <c r="C1495" s="139" t="s">
        <v>1949</v>
      </c>
      <c r="D1495" s="135" t="s">
        <v>1884</v>
      </c>
      <c r="E1495" s="136" t="s">
        <v>1900</v>
      </c>
      <c r="F1495" s="137" t="s">
        <v>378</v>
      </c>
      <c r="G1495" s="138">
        <v>15</v>
      </c>
      <c r="H1495" s="51">
        <v>0</v>
      </c>
      <c r="I1495" s="56">
        <v>0</v>
      </c>
      <c r="J1495" s="51">
        <v>0</v>
      </c>
      <c r="K1495" s="50">
        <f t="shared" si="130"/>
        <v>0</v>
      </c>
      <c r="L1495" s="52">
        <f t="shared" si="131"/>
        <v>0</v>
      </c>
    </row>
    <row r="1496" spans="3:12" s="53" customFormat="1" ht="23.45" customHeight="1">
      <c r="C1496" s="139" t="s">
        <v>1950</v>
      </c>
      <c r="D1496" s="135" t="s">
        <v>1885</v>
      </c>
      <c r="E1496" s="136" t="s">
        <v>1900</v>
      </c>
      <c r="F1496" s="137" t="s">
        <v>378</v>
      </c>
      <c r="G1496" s="138">
        <v>15</v>
      </c>
      <c r="H1496" s="51">
        <v>0</v>
      </c>
      <c r="I1496" s="56">
        <v>0</v>
      </c>
      <c r="J1496" s="51">
        <v>0</v>
      </c>
      <c r="K1496" s="50">
        <f t="shared" si="130"/>
        <v>0</v>
      </c>
      <c r="L1496" s="52">
        <f t="shared" si="131"/>
        <v>0</v>
      </c>
    </row>
    <row r="1497" spans="3:12" s="53" customFormat="1" ht="23.45" customHeight="1">
      <c r="C1497" s="139" t="s">
        <v>1951</v>
      </c>
      <c r="D1497" s="135" t="s">
        <v>1934</v>
      </c>
      <c r="E1497" s="136" t="s">
        <v>1900</v>
      </c>
      <c r="F1497" s="137" t="s">
        <v>378</v>
      </c>
      <c r="G1497" s="138">
        <v>2</v>
      </c>
      <c r="H1497" s="51">
        <v>0</v>
      </c>
      <c r="I1497" s="56">
        <v>0</v>
      </c>
      <c r="J1497" s="51">
        <v>0</v>
      </c>
      <c r="K1497" s="50">
        <f t="shared" si="130"/>
        <v>0</v>
      </c>
      <c r="L1497" s="52">
        <f t="shared" si="131"/>
        <v>0</v>
      </c>
    </row>
    <row r="1498" spans="3:12" s="53" customFormat="1" ht="23.45" customHeight="1">
      <c r="C1498" s="139" t="s">
        <v>1952</v>
      </c>
      <c r="D1498" s="135" t="s">
        <v>1069</v>
      </c>
      <c r="E1498" s="136" t="s">
        <v>2124</v>
      </c>
      <c r="F1498" s="48" t="s">
        <v>26</v>
      </c>
      <c r="G1498" s="138">
        <v>9</v>
      </c>
      <c r="H1498" s="51">
        <v>0</v>
      </c>
      <c r="I1498" s="56">
        <v>0</v>
      </c>
      <c r="J1498" s="51">
        <v>0</v>
      </c>
      <c r="K1498" s="50">
        <f t="shared" si="130"/>
        <v>0</v>
      </c>
      <c r="L1498" s="52">
        <f t="shared" si="131"/>
        <v>0</v>
      </c>
    </row>
    <row r="1499" spans="3:12" s="53" customFormat="1" ht="23.45" customHeight="1">
      <c r="C1499" s="139" t="s">
        <v>1953</v>
      </c>
      <c r="D1499" s="135" t="s">
        <v>1935</v>
      </c>
      <c r="E1499" s="136" t="s">
        <v>2124</v>
      </c>
      <c r="F1499" s="48" t="s">
        <v>26</v>
      </c>
      <c r="G1499" s="138">
        <v>3</v>
      </c>
      <c r="H1499" s="51">
        <v>0</v>
      </c>
      <c r="I1499" s="56">
        <v>0</v>
      </c>
      <c r="J1499" s="51">
        <v>0</v>
      </c>
      <c r="K1499" s="50">
        <f t="shared" si="130"/>
        <v>0</v>
      </c>
      <c r="L1499" s="52">
        <f t="shared" si="131"/>
        <v>0</v>
      </c>
    </row>
    <row r="1500" spans="3:12" s="53" customFormat="1" ht="23.45" customHeight="1">
      <c r="C1500" s="139" t="s">
        <v>1954</v>
      </c>
      <c r="D1500" s="135" t="s">
        <v>1761</v>
      </c>
      <c r="E1500" s="136" t="s">
        <v>2124</v>
      </c>
      <c r="F1500" s="48" t="s">
        <v>26</v>
      </c>
      <c r="G1500" s="138">
        <v>30</v>
      </c>
      <c r="H1500" s="51">
        <v>0</v>
      </c>
      <c r="I1500" s="56">
        <v>0</v>
      </c>
      <c r="J1500" s="51">
        <v>0</v>
      </c>
      <c r="K1500" s="50">
        <f t="shared" si="130"/>
        <v>0</v>
      </c>
      <c r="L1500" s="52">
        <f t="shared" si="131"/>
        <v>0</v>
      </c>
    </row>
    <row r="1501" spans="3:12" s="53" customFormat="1" ht="23.45" customHeight="1">
      <c r="C1501" s="139" t="s">
        <v>1955</v>
      </c>
      <c r="D1501" s="135" t="s">
        <v>1040</v>
      </c>
      <c r="E1501" s="136" t="s">
        <v>2124</v>
      </c>
      <c r="F1501" s="48" t="s">
        <v>26</v>
      </c>
      <c r="G1501" s="138">
        <v>2</v>
      </c>
      <c r="H1501" s="51">
        <v>0</v>
      </c>
      <c r="I1501" s="56">
        <v>0</v>
      </c>
      <c r="J1501" s="51">
        <v>0</v>
      </c>
      <c r="K1501" s="50">
        <f t="shared" si="130"/>
        <v>0</v>
      </c>
      <c r="L1501" s="52">
        <f t="shared" si="131"/>
        <v>0</v>
      </c>
    </row>
    <row r="1502" spans="3:12" s="53" customFormat="1" ht="23.45" customHeight="1">
      <c r="C1502" s="139" t="s">
        <v>1956</v>
      </c>
      <c r="D1502" s="135" t="s">
        <v>1936</v>
      </c>
      <c r="E1502" s="136" t="s">
        <v>1902</v>
      </c>
      <c r="F1502" s="137" t="s">
        <v>26</v>
      </c>
      <c r="G1502" s="138">
        <v>1</v>
      </c>
      <c r="H1502" s="51">
        <v>0</v>
      </c>
      <c r="I1502" s="56">
        <v>0</v>
      </c>
      <c r="J1502" s="51">
        <v>0</v>
      </c>
      <c r="K1502" s="50">
        <f t="shared" si="130"/>
        <v>0</v>
      </c>
      <c r="L1502" s="52">
        <f t="shared" si="131"/>
        <v>0</v>
      </c>
    </row>
    <row r="1503" spans="3:12" s="53" customFormat="1" ht="23.45" customHeight="1">
      <c r="C1503" s="139"/>
      <c r="D1503" s="135"/>
      <c r="E1503" s="136"/>
      <c r="F1503" s="137"/>
      <c r="G1503" s="138"/>
      <c r="H1503" s="131"/>
      <c r="I1503" s="132"/>
      <c r="J1503" s="131"/>
      <c r="K1503" s="133"/>
      <c r="L1503" s="134"/>
    </row>
    <row r="1504" spans="3:12" s="53" customFormat="1" ht="23.45" customHeight="1">
      <c r="C1504" s="196" t="s">
        <v>1940</v>
      </c>
      <c r="D1504" s="197" t="s">
        <v>1969</v>
      </c>
      <c r="E1504" s="136"/>
      <c r="F1504" s="137"/>
      <c r="G1504" s="138"/>
      <c r="H1504" s="131"/>
      <c r="I1504" s="132"/>
      <c r="J1504" s="131"/>
      <c r="K1504" s="133"/>
      <c r="L1504" s="134"/>
    </row>
    <row r="1505" spans="3:12" s="53" customFormat="1" ht="23.45" customHeight="1">
      <c r="C1505" s="139" t="s">
        <v>1970</v>
      </c>
      <c r="D1505" s="135" t="s">
        <v>1957</v>
      </c>
      <c r="E1505" s="136" t="s">
        <v>2008</v>
      </c>
      <c r="F1505" s="137" t="s">
        <v>378</v>
      </c>
      <c r="G1505" s="138">
        <v>1</v>
      </c>
      <c r="H1505" s="51">
        <v>0</v>
      </c>
      <c r="I1505" s="56">
        <v>0</v>
      </c>
      <c r="J1505" s="51">
        <v>0</v>
      </c>
      <c r="K1505" s="50">
        <f t="shared" ref="K1505:K1519" si="132">+H1505+I1505+J1505</f>
        <v>0</v>
      </c>
      <c r="L1505" s="52">
        <f t="shared" ref="L1505:L1519" si="133">+K1505*G1505</f>
        <v>0</v>
      </c>
    </row>
    <row r="1506" spans="3:12" s="53" customFormat="1" ht="23.45" customHeight="1">
      <c r="C1506" s="139" t="s">
        <v>1971</v>
      </c>
      <c r="D1506" s="135" t="s">
        <v>1958</v>
      </c>
      <c r="E1506" s="136" t="s">
        <v>2008</v>
      </c>
      <c r="F1506" s="137" t="s">
        <v>378</v>
      </c>
      <c r="G1506" s="138">
        <v>2</v>
      </c>
      <c r="H1506" s="51">
        <v>0</v>
      </c>
      <c r="I1506" s="56">
        <v>0</v>
      </c>
      <c r="J1506" s="51">
        <v>0</v>
      </c>
      <c r="K1506" s="50">
        <f t="shared" si="132"/>
        <v>0</v>
      </c>
      <c r="L1506" s="52">
        <f t="shared" si="133"/>
        <v>0</v>
      </c>
    </row>
    <row r="1507" spans="3:12" s="53" customFormat="1" ht="54" customHeight="1">
      <c r="C1507" s="139" t="s">
        <v>1972</v>
      </c>
      <c r="D1507" s="149" t="s">
        <v>1968</v>
      </c>
      <c r="E1507" s="136" t="s">
        <v>2009</v>
      </c>
      <c r="F1507" s="137" t="s">
        <v>378</v>
      </c>
      <c r="G1507" s="138">
        <v>3</v>
      </c>
      <c r="H1507" s="51">
        <v>0</v>
      </c>
      <c r="I1507" s="56">
        <v>0</v>
      </c>
      <c r="J1507" s="51">
        <v>0</v>
      </c>
      <c r="K1507" s="50">
        <f t="shared" si="132"/>
        <v>0</v>
      </c>
      <c r="L1507" s="52">
        <f t="shared" si="133"/>
        <v>0</v>
      </c>
    </row>
    <row r="1508" spans="3:12" s="53" customFormat="1" ht="23.45" customHeight="1">
      <c r="C1508" s="139" t="s">
        <v>1973</v>
      </c>
      <c r="D1508" s="135" t="s">
        <v>1959</v>
      </c>
      <c r="E1508" s="136" t="s">
        <v>2008</v>
      </c>
      <c r="F1508" s="137" t="s">
        <v>378</v>
      </c>
      <c r="G1508" s="138">
        <v>3</v>
      </c>
      <c r="H1508" s="51">
        <v>0</v>
      </c>
      <c r="I1508" s="56">
        <v>0</v>
      </c>
      <c r="J1508" s="51">
        <v>0</v>
      </c>
      <c r="K1508" s="50">
        <f t="shared" si="132"/>
        <v>0</v>
      </c>
      <c r="L1508" s="52">
        <f t="shared" si="133"/>
        <v>0</v>
      </c>
    </row>
    <row r="1509" spans="3:12" s="53" customFormat="1" ht="23.45" customHeight="1">
      <c r="C1509" s="139" t="s">
        <v>1974</v>
      </c>
      <c r="D1509" s="135" t="s">
        <v>1960</v>
      </c>
      <c r="E1509" s="136" t="s">
        <v>2006</v>
      </c>
      <c r="F1509" s="137" t="s">
        <v>378</v>
      </c>
      <c r="G1509" s="138">
        <v>1</v>
      </c>
      <c r="H1509" s="51">
        <v>0</v>
      </c>
      <c r="I1509" s="56">
        <v>0</v>
      </c>
      <c r="J1509" s="51">
        <v>0</v>
      </c>
      <c r="K1509" s="50">
        <f t="shared" si="132"/>
        <v>0</v>
      </c>
      <c r="L1509" s="52">
        <f t="shared" si="133"/>
        <v>0</v>
      </c>
    </row>
    <row r="1510" spans="3:12" s="53" customFormat="1" ht="23.45" customHeight="1">
      <c r="C1510" s="139" t="s">
        <v>1975</v>
      </c>
      <c r="D1510" s="135" t="s">
        <v>442</v>
      </c>
      <c r="E1510" s="136" t="s">
        <v>2006</v>
      </c>
      <c r="F1510" s="137" t="s">
        <v>378</v>
      </c>
      <c r="G1510" s="138">
        <v>24</v>
      </c>
      <c r="H1510" s="51">
        <v>0</v>
      </c>
      <c r="I1510" s="56">
        <v>0</v>
      </c>
      <c r="J1510" s="51">
        <v>0</v>
      </c>
      <c r="K1510" s="50">
        <f t="shared" si="132"/>
        <v>0</v>
      </c>
      <c r="L1510" s="52">
        <f t="shared" si="133"/>
        <v>0</v>
      </c>
    </row>
    <row r="1511" spans="3:12" s="53" customFormat="1" ht="23.45" customHeight="1">
      <c r="C1511" s="139" t="s">
        <v>1976</v>
      </c>
      <c r="D1511" s="135" t="s">
        <v>1961</v>
      </c>
      <c r="E1511" s="136" t="s">
        <v>2006</v>
      </c>
      <c r="F1511" s="137" t="s">
        <v>378</v>
      </c>
      <c r="G1511" s="138">
        <v>24</v>
      </c>
      <c r="H1511" s="51">
        <v>0</v>
      </c>
      <c r="I1511" s="56">
        <v>0</v>
      </c>
      <c r="J1511" s="51">
        <v>0</v>
      </c>
      <c r="K1511" s="50">
        <f t="shared" si="132"/>
        <v>0</v>
      </c>
      <c r="L1511" s="52">
        <f t="shared" si="133"/>
        <v>0</v>
      </c>
    </row>
    <row r="1512" spans="3:12" s="53" customFormat="1" ht="23.45" customHeight="1">
      <c r="C1512" s="139" t="s">
        <v>1977</v>
      </c>
      <c r="D1512" s="135" t="s">
        <v>1962</v>
      </c>
      <c r="E1512" s="136" t="s">
        <v>2006</v>
      </c>
      <c r="F1512" s="137" t="s">
        <v>378</v>
      </c>
      <c r="G1512" s="138">
        <v>1</v>
      </c>
      <c r="H1512" s="51">
        <v>0</v>
      </c>
      <c r="I1512" s="56">
        <v>0</v>
      </c>
      <c r="J1512" s="51">
        <v>0</v>
      </c>
      <c r="K1512" s="50">
        <f t="shared" si="132"/>
        <v>0</v>
      </c>
      <c r="L1512" s="52">
        <f t="shared" si="133"/>
        <v>0</v>
      </c>
    </row>
    <row r="1513" spans="3:12" s="53" customFormat="1" ht="23.45" customHeight="1">
      <c r="C1513" s="139" t="s">
        <v>1978</v>
      </c>
      <c r="D1513" s="135" t="s">
        <v>443</v>
      </c>
      <c r="E1513" s="136" t="s">
        <v>2006</v>
      </c>
      <c r="F1513" s="137" t="s">
        <v>378</v>
      </c>
      <c r="G1513" s="138">
        <v>1</v>
      </c>
      <c r="H1513" s="51">
        <v>0</v>
      </c>
      <c r="I1513" s="56">
        <v>0</v>
      </c>
      <c r="J1513" s="51">
        <v>0</v>
      </c>
      <c r="K1513" s="50">
        <f t="shared" si="132"/>
        <v>0</v>
      </c>
      <c r="L1513" s="52">
        <f t="shared" si="133"/>
        <v>0</v>
      </c>
    </row>
    <row r="1514" spans="3:12" s="53" customFormat="1" ht="23.45" customHeight="1">
      <c r="C1514" s="139" t="s">
        <v>1979</v>
      </c>
      <c r="D1514" s="135" t="s">
        <v>1963</v>
      </c>
      <c r="E1514" s="136" t="s">
        <v>2006</v>
      </c>
      <c r="F1514" s="137" t="s">
        <v>378</v>
      </c>
      <c r="G1514" s="138">
        <v>1</v>
      </c>
      <c r="H1514" s="51">
        <v>0</v>
      </c>
      <c r="I1514" s="56">
        <v>0</v>
      </c>
      <c r="J1514" s="51">
        <v>0</v>
      </c>
      <c r="K1514" s="50">
        <f t="shared" si="132"/>
        <v>0</v>
      </c>
      <c r="L1514" s="52">
        <f t="shared" si="133"/>
        <v>0</v>
      </c>
    </row>
    <row r="1515" spans="3:12" s="53" customFormat="1" ht="23.45" customHeight="1">
      <c r="C1515" s="139" t="s">
        <v>1980</v>
      </c>
      <c r="D1515" s="135" t="s">
        <v>1964</v>
      </c>
      <c r="E1515" s="136" t="s">
        <v>2006</v>
      </c>
      <c r="F1515" s="137" t="s">
        <v>378</v>
      </c>
      <c r="G1515" s="138">
        <v>12</v>
      </c>
      <c r="H1515" s="51">
        <v>0</v>
      </c>
      <c r="I1515" s="56">
        <v>0</v>
      </c>
      <c r="J1515" s="51">
        <v>0</v>
      </c>
      <c r="K1515" s="50">
        <f t="shared" si="132"/>
        <v>0</v>
      </c>
      <c r="L1515" s="52">
        <f t="shared" si="133"/>
        <v>0</v>
      </c>
    </row>
    <row r="1516" spans="3:12" s="53" customFormat="1" ht="23.45" customHeight="1">
      <c r="C1516" s="139" t="s">
        <v>1981</v>
      </c>
      <c r="D1516" s="135" t="s">
        <v>444</v>
      </c>
      <c r="E1516" s="136" t="s">
        <v>2006</v>
      </c>
      <c r="F1516" s="137" t="s">
        <v>378</v>
      </c>
      <c r="G1516" s="138">
        <v>6</v>
      </c>
      <c r="H1516" s="51">
        <v>0</v>
      </c>
      <c r="I1516" s="56">
        <v>0</v>
      </c>
      <c r="J1516" s="51">
        <v>0</v>
      </c>
      <c r="K1516" s="50">
        <f t="shared" si="132"/>
        <v>0</v>
      </c>
      <c r="L1516" s="52">
        <f t="shared" si="133"/>
        <v>0</v>
      </c>
    </row>
    <row r="1517" spans="3:12" s="53" customFormat="1" ht="23.45" customHeight="1">
      <c r="C1517" s="139" t="s">
        <v>1982</v>
      </c>
      <c r="D1517" s="135" t="s">
        <v>1965</v>
      </c>
      <c r="E1517" s="136" t="s">
        <v>2006</v>
      </c>
      <c r="F1517" s="137" t="s">
        <v>378</v>
      </c>
      <c r="G1517" s="138">
        <v>3</v>
      </c>
      <c r="H1517" s="51">
        <v>0</v>
      </c>
      <c r="I1517" s="56">
        <v>0</v>
      </c>
      <c r="J1517" s="51">
        <v>0</v>
      </c>
      <c r="K1517" s="50">
        <f t="shared" si="132"/>
        <v>0</v>
      </c>
      <c r="L1517" s="52">
        <f t="shared" si="133"/>
        <v>0</v>
      </c>
    </row>
    <row r="1518" spans="3:12" s="53" customFormat="1" ht="23.45" customHeight="1">
      <c r="C1518" s="139" t="s">
        <v>1983</v>
      </c>
      <c r="D1518" s="135" t="s">
        <v>1966</v>
      </c>
      <c r="E1518" s="136" t="s">
        <v>2007</v>
      </c>
      <c r="F1518" s="137" t="s">
        <v>378</v>
      </c>
      <c r="G1518" s="138">
        <v>1</v>
      </c>
      <c r="H1518" s="51">
        <v>0</v>
      </c>
      <c r="I1518" s="56">
        <v>0</v>
      </c>
      <c r="J1518" s="51">
        <v>0</v>
      </c>
      <c r="K1518" s="50">
        <f t="shared" si="132"/>
        <v>0</v>
      </c>
      <c r="L1518" s="52">
        <f t="shared" si="133"/>
        <v>0</v>
      </c>
    </row>
    <row r="1519" spans="3:12" s="53" customFormat="1" ht="23.45" customHeight="1">
      <c r="C1519" s="139" t="s">
        <v>1984</v>
      </c>
      <c r="D1519" s="135" t="s">
        <v>1967</v>
      </c>
      <c r="E1519" s="136" t="s">
        <v>848</v>
      </c>
      <c r="F1519" s="137" t="s">
        <v>378</v>
      </c>
      <c r="G1519" s="138">
        <v>1</v>
      </c>
      <c r="H1519" s="51">
        <v>0</v>
      </c>
      <c r="I1519" s="56">
        <v>0</v>
      </c>
      <c r="J1519" s="51">
        <v>0</v>
      </c>
      <c r="K1519" s="50">
        <f t="shared" si="132"/>
        <v>0</v>
      </c>
      <c r="L1519" s="52">
        <f t="shared" si="133"/>
        <v>0</v>
      </c>
    </row>
    <row r="1520" spans="3:12" s="53" customFormat="1" ht="23.45" customHeight="1">
      <c r="C1520" s="139"/>
      <c r="D1520" s="135"/>
      <c r="E1520" s="136"/>
      <c r="F1520" s="137"/>
      <c r="G1520" s="138"/>
      <c r="H1520" s="131"/>
      <c r="I1520" s="132"/>
      <c r="J1520" s="131"/>
      <c r="K1520" s="133"/>
      <c r="L1520" s="134"/>
    </row>
    <row r="1521" spans="3:12" s="53" customFormat="1" ht="23.45" customHeight="1">
      <c r="C1521" s="196" t="s">
        <v>2010</v>
      </c>
      <c r="D1521" s="197" t="s">
        <v>2281</v>
      </c>
      <c r="E1521" s="136"/>
      <c r="F1521" s="137"/>
      <c r="G1521" s="138"/>
      <c r="H1521" s="131"/>
      <c r="I1521" s="132"/>
      <c r="J1521" s="131"/>
      <c r="K1521" s="133"/>
      <c r="L1521" s="134"/>
    </row>
    <row r="1522" spans="3:12" s="53" customFormat="1" ht="23.45" customHeight="1">
      <c r="C1522" s="139"/>
      <c r="D1522" s="135"/>
      <c r="E1522" s="136"/>
      <c r="F1522" s="137"/>
      <c r="G1522" s="138"/>
      <c r="H1522" s="131"/>
      <c r="I1522" s="132"/>
      <c r="J1522" s="131"/>
      <c r="K1522" s="133"/>
      <c r="L1522" s="134"/>
    </row>
    <row r="1523" spans="3:12" s="53" customFormat="1" ht="31.15" customHeight="1">
      <c r="C1523" s="139" t="s">
        <v>2011</v>
      </c>
      <c r="D1523" s="135" t="s">
        <v>1985</v>
      </c>
      <c r="E1523" s="136" t="s">
        <v>2001</v>
      </c>
      <c r="F1523" s="137" t="s">
        <v>378</v>
      </c>
      <c r="G1523" s="138">
        <v>1</v>
      </c>
      <c r="H1523" s="51">
        <v>0</v>
      </c>
      <c r="I1523" s="56">
        <v>0</v>
      </c>
      <c r="J1523" s="51">
        <v>0</v>
      </c>
      <c r="K1523" s="50">
        <f t="shared" ref="K1523:K1542" si="134">+H1523+I1523+J1523</f>
        <v>0</v>
      </c>
      <c r="L1523" s="52">
        <f t="shared" ref="L1523:L1542" si="135">+K1523*G1523</f>
        <v>0</v>
      </c>
    </row>
    <row r="1524" spans="3:12" s="53" customFormat="1" ht="31.15" customHeight="1">
      <c r="C1524" s="139" t="s">
        <v>2012</v>
      </c>
      <c r="D1524" s="135" t="s">
        <v>1986</v>
      </c>
      <c r="E1524" s="136" t="s">
        <v>2001</v>
      </c>
      <c r="F1524" s="137" t="s">
        <v>378</v>
      </c>
      <c r="G1524" s="138">
        <v>1</v>
      </c>
      <c r="H1524" s="51">
        <v>0</v>
      </c>
      <c r="I1524" s="56">
        <v>0</v>
      </c>
      <c r="J1524" s="51">
        <v>0</v>
      </c>
      <c r="K1524" s="50">
        <f t="shared" si="134"/>
        <v>0</v>
      </c>
      <c r="L1524" s="52">
        <f t="shared" si="135"/>
        <v>0</v>
      </c>
    </row>
    <row r="1525" spans="3:12" s="53" customFormat="1" ht="31.15" customHeight="1">
      <c r="C1525" s="139" t="s">
        <v>2013</v>
      </c>
      <c r="D1525" s="135" t="s">
        <v>1987</v>
      </c>
      <c r="E1525" s="136" t="s">
        <v>2001</v>
      </c>
      <c r="F1525" s="137" t="s">
        <v>378</v>
      </c>
      <c r="G1525" s="138">
        <v>6</v>
      </c>
      <c r="H1525" s="51">
        <v>0</v>
      </c>
      <c r="I1525" s="56">
        <v>0</v>
      </c>
      <c r="J1525" s="51">
        <v>0</v>
      </c>
      <c r="K1525" s="50">
        <f t="shared" si="134"/>
        <v>0</v>
      </c>
      <c r="L1525" s="52">
        <f t="shared" si="135"/>
        <v>0</v>
      </c>
    </row>
    <row r="1526" spans="3:12" s="53" customFormat="1" ht="35.450000000000003" customHeight="1">
      <c r="C1526" s="139" t="s">
        <v>2014</v>
      </c>
      <c r="D1526" s="149" t="s">
        <v>1988</v>
      </c>
      <c r="E1526" s="136" t="s">
        <v>2001</v>
      </c>
      <c r="F1526" s="137" t="s">
        <v>378</v>
      </c>
      <c r="G1526" s="138">
        <v>1</v>
      </c>
      <c r="H1526" s="51">
        <v>0</v>
      </c>
      <c r="I1526" s="56">
        <v>0</v>
      </c>
      <c r="J1526" s="51">
        <v>0</v>
      </c>
      <c r="K1526" s="50">
        <f t="shared" si="134"/>
        <v>0</v>
      </c>
      <c r="L1526" s="52">
        <f t="shared" si="135"/>
        <v>0</v>
      </c>
    </row>
    <row r="1527" spans="3:12" s="53" customFormat="1" ht="31.15" customHeight="1">
      <c r="C1527" s="139" t="s">
        <v>2015</v>
      </c>
      <c r="D1527" s="135" t="s">
        <v>1989</v>
      </c>
      <c r="E1527" s="136" t="s">
        <v>2002</v>
      </c>
      <c r="F1527" s="137" t="s">
        <v>378</v>
      </c>
      <c r="G1527" s="138">
        <v>2</v>
      </c>
      <c r="H1527" s="51">
        <v>0</v>
      </c>
      <c r="I1527" s="56">
        <v>0</v>
      </c>
      <c r="J1527" s="51">
        <v>0</v>
      </c>
      <c r="K1527" s="50">
        <f t="shared" si="134"/>
        <v>0</v>
      </c>
      <c r="L1527" s="52">
        <f t="shared" si="135"/>
        <v>0</v>
      </c>
    </row>
    <row r="1528" spans="3:12" s="53" customFormat="1" ht="31.15" customHeight="1">
      <c r="C1528" s="139" t="s">
        <v>2016</v>
      </c>
      <c r="D1528" s="135" t="s">
        <v>1990</v>
      </c>
      <c r="E1528" s="136" t="s">
        <v>2003</v>
      </c>
      <c r="F1528" s="137" t="s">
        <v>378</v>
      </c>
      <c r="G1528" s="138">
        <v>1</v>
      </c>
      <c r="H1528" s="51">
        <v>0</v>
      </c>
      <c r="I1528" s="56">
        <v>0</v>
      </c>
      <c r="J1528" s="51">
        <v>0</v>
      </c>
      <c r="K1528" s="50">
        <f t="shared" si="134"/>
        <v>0</v>
      </c>
      <c r="L1528" s="52">
        <f t="shared" si="135"/>
        <v>0</v>
      </c>
    </row>
    <row r="1529" spans="3:12" s="53" customFormat="1" ht="31.15" customHeight="1">
      <c r="C1529" s="139" t="s">
        <v>2017</v>
      </c>
      <c r="D1529" s="135" t="s">
        <v>1991</v>
      </c>
      <c r="E1529" s="136" t="s">
        <v>2003</v>
      </c>
      <c r="F1529" s="137" t="s">
        <v>378</v>
      </c>
      <c r="G1529" s="138">
        <v>1</v>
      </c>
      <c r="H1529" s="51">
        <v>0</v>
      </c>
      <c r="I1529" s="56">
        <v>0</v>
      </c>
      <c r="J1529" s="51">
        <v>0</v>
      </c>
      <c r="K1529" s="50">
        <f t="shared" si="134"/>
        <v>0</v>
      </c>
      <c r="L1529" s="52">
        <f t="shared" si="135"/>
        <v>0</v>
      </c>
    </row>
    <row r="1530" spans="3:12" s="53" customFormat="1" ht="31.15" customHeight="1">
      <c r="C1530" s="139" t="s">
        <v>2018</v>
      </c>
      <c r="D1530" s="135" t="s">
        <v>1999</v>
      </c>
      <c r="E1530" s="136" t="s">
        <v>2004</v>
      </c>
      <c r="F1530" s="137" t="s">
        <v>378</v>
      </c>
      <c r="G1530" s="138">
        <v>1</v>
      </c>
      <c r="H1530" s="51">
        <v>0</v>
      </c>
      <c r="I1530" s="56">
        <v>0</v>
      </c>
      <c r="J1530" s="51">
        <v>0</v>
      </c>
      <c r="K1530" s="50">
        <f t="shared" si="134"/>
        <v>0</v>
      </c>
      <c r="L1530" s="52">
        <f t="shared" si="135"/>
        <v>0</v>
      </c>
    </row>
    <row r="1531" spans="3:12" s="53" customFormat="1" ht="31.15" customHeight="1">
      <c r="C1531" s="139" t="s">
        <v>2019</v>
      </c>
      <c r="D1531" s="135" t="s">
        <v>402</v>
      </c>
      <c r="E1531" s="136" t="s">
        <v>2005</v>
      </c>
      <c r="F1531" s="137" t="s">
        <v>378</v>
      </c>
      <c r="G1531" s="138">
        <v>1</v>
      </c>
      <c r="H1531" s="51">
        <v>0</v>
      </c>
      <c r="I1531" s="56">
        <v>0</v>
      </c>
      <c r="J1531" s="51">
        <v>0</v>
      </c>
      <c r="K1531" s="50">
        <f t="shared" si="134"/>
        <v>0</v>
      </c>
      <c r="L1531" s="52">
        <f t="shared" si="135"/>
        <v>0</v>
      </c>
    </row>
    <row r="1532" spans="3:12" s="53" customFormat="1" ht="31.15" customHeight="1">
      <c r="C1532" s="139" t="s">
        <v>2020</v>
      </c>
      <c r="D1532" s="135" t="s">
        <v>287</v>
      </c>
      <c r="E1532" s="136" t="s">
        <v>2006</v>
      </c>
      <c r="F1532" s="137" t="s">
        <v>378</v>
      </c>
      <c r="G1532" s="138">
        <v>24</v>
      </c>
      <c r="H1532" s="51">
        <v>0</v>
      </c>
      <c r="I1532" s="56">
        <v>0</v>
      </c>
      <c r="J1532" s="51">
        <v>0</v>
      </c>
      <c r="K1532" s="50">
        <f t="shared" si="134"/>
        <v>0</v>
      </c>
      <c r="L1532" s="52">
        <f t="shared" si="135"/>
        <v>0</v>
      </c>
    </row>
    <row r="1533" spans="3:12" s="53" customFormat="1" ht="31.15" customHeight="1">
      <c r="C1533" s="139" t="s">
        <v>2021</v>
      </c>
      <c r="D1533" s="135" t="s">
        <v>288</v>
      </c>
      <c r="E1533" s="136" t="s">
        <v>2006</v>
      </c>
      <c r="F1533" s="137" t="s">
        <v>378</v>
      </c>
      <c r="G1533" s="138">
        <v>24</v>
      </c>
      <c r="H1533" s="51">
        <v>0</v>
      </c>
      <c r="I1533" s="56">
        <v>0</v>
      </c>
      <c r="J1533" s="51">
        <v>0</v>
      </c>
      <c r="K1533" s="50">
        <f t="shared" si="134"/>
        <v>0</v>
      </c>
      <c r="L1533" s="52">
        <f t="shared" si="135"/>
        <v>0</v>
      </c>
    </row>
    <row r="1534" spans="3:12" s="53" customFormat="1" ht="31.15" customHeight="1">
      <c r="C1534" s="139" t="s">
        <v>2022</v>
      </c>
      <c r="D1534" s="135" t="s">
        <v>2000</v>
      </c>
      <c r="E1534" s="136" t="s">
        <v>2006</v>
      </c>
      <c r="F1534" s="137" t="s">
        <v>378</v>
      </c>
      <c r="G1534" s="138">
        <v>1</v>
      </c>
      <c r="H1534" s="51">
        <v>0</v>
      </c>
      <c r="I1534" s="56">
        <v>0</v>
      </c>
      <c r="J1534" s="51">
        <v>0</v>
      </c>
      <c r="K1534" s="50">
        <f t="shared" si="134"/>
        <v>0</v>
      </c>
      <c r="L1534" s="52">
        <f t="shared" si="135"/>
        <v>0</v>
      </c>
    </row>
    <row r="1535" spans="3:12" s="53" customFormat="1" ht="31.15" customHeight="1">
      <c r="C1535" s="139" t="s">
        <v>2023</v>
      </c>
      <c r="D1535" s="135" t="s">
        <v>1992</v>
      </c>
      <c r="E1535" s="136" t="s">
        <v>2007</v>
      </c>
      <c r="F1535" s="137" t="s">
        <v>378</v>
      </c>
      <c r="G1535" s="138">
        <v>1</v>
      </c>
      <c r="H1535" s="51">
        <v>0</v>
      </c>
      <c r="I1535" s="56">
        <v>0</v>
      </c>
      <c r="J1535" s="51">
        <v>0</v>
      </c>
      <c r="K1535" s="50">
        <f t="shared" si="134"/>
        <v>0</v>
      </c>
      <c r="L1535" s="52">
        <f t="shared" si="135"/>
        <v>0</v>
      </c>
    </row>
    <row r="1536" spans="3:12" s="53" customFormat="1" ht="31.15" customHeight="1">
      <c r="C1536" s="139" t="s">
        <v>2024</v>
      </c>
      <c r="D1536" s="135" t="s">
        <v>1993</v>
      </c>
      <c r="E1536" s="136" t="s">
        <v>2006</v>
      </c>
      <c r="F1536" s="137" t="s">
        <v>378</v>
      </c>
      <c r="G1536" s="138">
        <v>1</v>
      </c>
      <c r="H1536" s="51">
        <v>0</v>
      </c>
      <c r="I1536" s="56">
        <v>0</v>
      </c>
      <c r="J1536" s="51">
        <v>0</v>
      </c>
      <c r="K1536" s="50">
        <f t="shared" si="134"/>
        <v>0</v>
      </c>
      <c r="L1536" s="52">
        <f t="shared" si="135"/>
        <v>0</v>
      </c>
    </row>
    <row r="1537" spans="3:12" s="53" customFormat="1" ht="31.15" customHeight="1">
      <c r="C1537" s="139" t="s">
        <v>2025</v>
      </c>
      <c r="D1537" s="135" t="s">
        <v>1994</v>
      </c>
      <c r="E1537" s="136" t="s">
        <v>2006</v>
      </c>
      <c r="F1537" s="137" t="s">
        <v>378</v>
      </c>
      <c r="G1537" s="138">
        <v>1</v>
      </c>
      <c r="H1537" s="51">
        <v>0</v>
      </c>
      <c r="I1537" s="56">
        <v>0</v>
      </c>
      <c r="J1537" s="51">
        <v>0</v>
      </c>
      <c r="K1537" s="50">
        <f t="shared" si="134"/>
        <v>0</v>
      </c>
      <c r="L1537" s="52">
        <f t="shared" si="135"/>
        <v>0</v>
      </c>
    </row>
    <row r="1538" spans="3:12" s="53" customFormat="1" ht="31.15" customHeight="1">
      <c r="C1538" s="139" t="s">
        <v>2026</v>
      </c>
      <c r="D1538" s="135" t="s">
        <v>1995</v>
      </c>
      <c r="E1538" s="136" t="s">
        <v>2006</v>
      </c>
      <c r="F1538" s="137" t="s">
        <v>378</v>
      </c>
      <c r="G1538" s="138">
        <v>12</v>
      </c>
      <c r="H1538" s="51">
        <v>0</v>
      </c>
      <c r="I1538" s="56">
        <v>0</v>
      </c>
      <c r="J1538" s="51">
        <v>0</v>
      </c>
      <c r="K1538" s="50">
        <f t="shared" si="134"/>
        <v>0</v>
      </c>
      <c r="L1538" s="52">
        <f t="shared" si="135"/>
        <v>0</v>
      </c>
    </row>
    <row r="1539" spans="3:12" s="53" customFormat="1" ht="31.15" customHeight="1">
      <c r="C1539" s="139" t="s">
        <v>2027</v>
      </c>
      <c r="D1539" s="135" t="s">
        <v>1996</v>
      </c>
      <c r="E1539" s="136" t="s">
        <v>2006</v>
      </c>
      <c r="F1539" s="137" t="s">
        <v>378</v>
      </c>
      <c r="G1539" s="138">
        <v>12</v>
      </c>
      <c r="H1539" s="51">
        <v>0</v>
      </c>
      <c r="I1539" s="56">
        <v>0</v>
      </c>
      <c r="J1539" s="51">
        <v>0</v>
      </c>
      <c r="K1539" s="50">
        <f t="shared" si="134"/>
        <v>0</v>
      </c>
      <c r="L1539" s="52">
        <f t="shared" si="135"/>
        <v>0</v>
      </c>
    </row>
    <row r="1540" spans="3:12" s="53" customFormat="1" ht="31.15" customHeight="1">
      <c r="C1540" s="139" t="s">
        <v>2028</v>
      </c>
      <c r="D1540" s="135" t="s">
        <v>1997</v>
      </c>
      <c r="E1540" s="136" t="s">
        <v>2006</v>
      </c>
      <c r="F1540" s="137" t="s">
        <v>378</v>
      </c>
      <c r="G1540" s="138">
        <v>12</v>
      </c>
      <c r="H1540" s="51">
        <v>0</v>
      </c>
      <c r="I1540" s="56">
        <v>0</v>
      </c>
      <c r="J1540" s="51">
        <v>0</v>
      </c>
      <c r="K1540" s="50">
        <f t="shared" si="134"/>
        <v>0</v>
      </c>
      <c r="L1540" s="52">
        <f t="shared" si="135"/>
        <v>0</v>
      </c>
    </row>
    <row r="1541" spans="3:12" s="53" customFormat="1" ht="31.15" customHeight="1">
      <c r="C1541" s="139" t="s">
        <v>2029</v>
      </c>
      <c r="D1541" s="135" t="s">
        <v>1998</v>
      </c>
      <c r="E1541" s="136" t="s">
        <v>2006</v>
      </c>
      <c r="F1541" s="137" t="s">
        <v>378</v>
      </c>
      <c r="G1541" s="138">
        <v>1</v>
      </c>
      <c r="H1541" s="51">
        <v>0</v>
      </c>
      <c r="I1541" s="56">
        <v>0</v>
      </c>
      <c r="J1541" s="51">
        <v>0</v>
      </c>
      <c r="K1541" s="50">
        <f t="shared" si="134"/>
        <v>0</v>
      </c>
      <c r="L1541" s="52">
        <f t="shared" si="135"/>
        <v>0</v>
      </c>
    </row>
    <row r="1542" spans="3:12" s="53" customFormat="1" ht="31.15" customHeight="1">
      <c r="C1542" s="139" t="s">
        <v>2030</v>
      </c>
      <c r="D1542" s="135" t="s">
        <v>430</v>
      </c>
      <c r="E1542" s="136" t="s">
        <v>2007</v>
      </c>
      <c r="F1542" s="137" t="s">
        <v>26</v>
      </c>
      <c r="G1542" s="138">
        <v>1</v>
      </c>
      <c r="H1542" s="51">
        <v>0</v>
      </c>
      <c r="I1542" s="56">
        <v>0</v>
      </c>
      <c r="J1542" s="51">
        <v>0</v>
      </c>
      <c r="K1542" s="50">
        <f t="shared" si="134"/>
        <v>0</v>
      </c>
      <c r="L1542" s="52">
        <f t="shared" si="135"/>
        <v>0</v>
      </c>
    </row>
    <row r="1543" spans="3:12" s="53" customFormat="1" ht="23.45" customHeight="1">
      <c r="C1543" s="139"/>
      <c r="D1543" s="135"/>
      <c r="E1543" s="136" t="s">
        <v>848</v>
      </c>
      <c r="F1543" s="137"/>
      <c r="G1543" s="138"/>
      <c r="H1543" s="131"/>
      <c r="I1543" s="132"/>
      <c r="J1543" s="131"/>
      <c r="K1543" s="133"/>
      <c r="L1543" s="134"/>
    </row>
    <row r="1544" spans="3:12" s="53" customFormat="1" ht="48.6" customHeight="1">
      <c r="C1544" s="196" t="s">
        <v>2031</v>
      </c>
      <c r="D1544" s="197" t="s">
        <v>2282</v>
      </c>
      <c r="E1544" s="136"/>
      <c r="F1544" s="137"/>
      <c r="G1544" s="138"/>
      <c r="H1544" s="131"/>
      <c r="I1544" s="132"/>
      <c r="J1544" s="131"/>
      <c r="K1544" s="133"/>
      <c r="L1544" s="134"/>
    </row>
    <row r="1545" spans="3:12" s="53" customFormat="1" ht="23.45" customHeight="1">
      <c r="C1545" s="139"/>
      <c r="D1545" s="135"/>
      <c r="E1545" s="136"/>
      <c r="F1545" s="137"/>
      <c r="G1545" s="138"/>
      <c r="H1545" s="131"/>
      <c r="I1545" s="132"/>
      <c r="J1545" s="131"/>
      <c r="K1545" s="133"/>
      <c r="L1545" s="134"/>
    </row>
    <row r="1546" spans="3:12" s="53" customFormat="1" ht="43.15" customHeight="1">
      <c r="C1546" s="139" t="s">
        <v>2044</v>
      </c>
      <c r="D1546" s="135" t="s">
        <v>2032</v>
      </c>
      <c r="E1546" s="136" t="s">
        <v>2042</v>
      </c>
      <c r="F1546" s="137" t="s">
        <v>378</v>
      </c>
      <c r="G1546" s="138">
        <v>1</v>
      </c>
      <c r="H1546" s="51">
        <v>0</v>
      </c>
      <c r="I1546" s="56">
        <v>0</v>
      </c>
      <c r="J1546" s="51">
        <v>0</v>
      </c>
      <c r="K1546" s="50">
        <f t="shared" ref="K1546:K1557" si="136">+H1546+I1546+J1546</f>
        <v>0</v>
      </c>
      <c r="L1546" s="52">
        <f t="shared" ref="L1546:L1557" si="137">+K1546*G1546</f>
        <v>0</v>
      </c>
    </row>
    <row r="1547" spans="3:12" s="53" customFormat="1" ht="43.15" customHeight="1">
      <c r="C1547" s="139" t="s">
        <v>2045</v>
      </c>
      <c r="D1547" s="135" t="s">
        <v>2033</v>
      </c>
      <c r="E1547" s="136" t="s">
        <v>2042</v>
      </c>
      <c r="F1547" s="137" t="s">
        <v>378</v>
      </c>
      <c r="G1547" s="138">
        <v>1</v>
      </c>
      <c r="H1547" s="51">
        <v>0</v>
      </c>
      <c r="I1547" s="56">
        <v>0</v>
      </c>
      <c r="J1547" s="51">
        <v>0</v>
      </c>
      <c r="K1547" s="50">
        <f t="shared" si="136"/>
        <v>0</v>
      </c>
      <c r="L1547" s="52">
        <f t="shared" si="137"/>
        <v>0</v>
      </c>
    </row>
    <row r="1548" spans="3:12" s="53" customFormat="1" ht="43.15" customHeight="1">
      <c r="C1548" s="139" t="s">
        <v>2046</v>
      </c>
      <c r="D1548" s="135" t="s">
        <v>2034</v>
      </c>
      <c r="E1548" s="136" t="s">
        <v>2042</v>
      </c>
      <c r="F1548" s="137" t="s">
        <v>378</v>
      </c>
      <c r="G1548" s="138">
        <v>1</v>
      </c>
      <c r="H1548" s="51">
        <v>0</v>
      </c>
      <c r="I1548" s="56">
        <v>0</v>
      </c>
      <c r="J1548" s="51">
        <v>0</v>
      </c>
      <c r="K1548" s="50">
        <f t="shared" si="136"/>
        <v>0</v>
      </c>
      <c r="L1548" s="52">
        <f t="shared" si="137"/>
        <v>0</v>
      </c>
    </row>
    <row r="1549" spans="3:12" s="53" customFormat="1" ht="43.15" customHeight="1">
      <c r="C1549" s="139" t="s">
        <v>2047</v>
      </c>
      <c r="D1549" s="135" t="s">
        <v>2035</v>
      </c>
      <c r="E1549" s="136" t="s">
        <v>2042</v>
      </c>
      <c r="F1549" s="137" t="s">
        <v>378</v>
      </c>
      <c r="G1549" s="138">
        <v>1</v>
      </c>
      <c r="H1549" s="51">
        <v>0</v>
      </c>
      <c r="I1549" s="56">
        <v>0</v>
      </c>
      <c r="J1549" s="51">
        <v>0</v>
      </c>
      <c r="K1549" s="50">
        <f t="shared" si="136"/>
        <v>0</v>
      </c>
      <c r="L1549" s="52">
        <f t="shared" si="137"/>
        <v>0</v>
      </c>
    </row>
    <row r="1550" spans="3:12" s="53" customFormat="1" ht="43.15" customHeight="1">
      <c r="C1550" s="139" t="s">
        <v>2048</v>
      </c>
      <c r="D1550" s="135" t="s">
        <v>2036</v>
      </c>
      <c r="E1550" s="136" t="s">
        <v>2042</v>
      </c>
      <c r="F1550" s="137" t="s">
        <v>378</v>
      </c>
      <c r="G1550" s="138">
        <v>1</v>
      </c>
      <c r="H1550" s="51">
        <v>0</v>
      </c>
      <c r="I1550" s="56">
        <v>0</v>
      </c>
      <c r="J1550" s="51">
        <v>0</v>
      </c>
      <c r="K1550" s="50">
        <f t="shared" si="136"/>
        <v>0</v>
      </c>
      <c r="L1550" s="52">
        <f t="shared" si="137"/>
        <v>0</v>
      </c>
    </row>
    <row r="1551" spans="3:12" s="53" customFormat="1" ht="43.15" customHeight="1">
      <c r="C1551" s="139" t="s">
        <v>2049</v>
      </c>
      <c r="D1551" s="135" t="s">
        <v>2037</v>
      </c>
      <c r="E1551" s="136" t="s">
        <v>2042</v>
      </c>
      <c r="F1551" s="137" t="s">
        <v>378</v>
      </c>
      <c r="G1551" s="138">
        <v>1</v>
      </c>
      <c r="H1551" s="51">
        <v>0</v>
      </c>
      <c r="I1551" s="56">
        <v>0</v>
      </c>
      <c r="J1551" s="51">
        <v>0</v>
      </c>
      <c r="K1551" s="50">
        <f t="shared" si="136"/>
        <v>0</v>
      </c>
      <c r="L1551" s="52">
        <f t="shared" si="137"/>
        <v>0</v>
      </c>
    </row>
    <row r="1552" spans="3:12" s="53" customFormat="1" ht="43.15" customHeight="1">
      <c r="C1552" s="139" t="s">
        <v>2050</v>
      </c>
      <c r="D1552" s="135" t="s">
        <v>2038</v>
      </c>
      <c r="E1552" s="136" t="s">
        <v>2042</v>
      </c>
      <c r="F1552" s="137" t="s">
        <v>378</v>
      </c>
      <c r="G1552" s="138">
        <v>12</v>
      </c>
      <c r="H1552" s="51">
        <v>0</v>
      </c>
      <c r="I1552" s="56">
        <v>0</v>
      </c>
      <c r="J1552" s="51">
        <v>0</v>
      </c>
      <c r="K1552" s="50">
        <f t="shared" si="136"/>
        <v>0</v>
      </c>
      <c r="L1552" s="52">
        <f t="shared" si="137"/>
        <v>0</v>
      </c>
    </row>
    <row r="1553" spans="3:12" s="53" customFormat="1" ht="43.15" customHeight="1">
      <c r="C1553" s="139" t="s">
        <v>2051</v>
      </c>
      <c r="D1553" s="135" t="s">
        <v>2039</v>
      </c>
      <c r="E1553" s="136" t="s">
        <v>2042</v>
      </c>
      <c r="F1553" s="137" t="s">
        <v>378</v>
      </c>
      <c r="G1553" s="138">
        <v>3</v>
      </c>
      <c r="H1553" s="51">
        <v>0</v>
      </c>
      <c r="I1553" s="56">
        <v>0</v>
      </c>
      <c r="J1553" s="51">
        <v>0</v>
      </c>
      <c r="K1553" s="50">
        <f t="shared" si="136"/>
        <v>0</v>
      </c>
      <c r="L1553" s="52">
        <f t="shared" si="137"/>
        <v>0</v>
      </c>
    </row>
    <row r="1554" spans="3:12" s="53" customFormat="1" ht="43.15" customHeight="1">
      <c r="C1554" s="139" t="s">
        <v>2052</v>
      </c>
      <c r="D1554" s="135" t="s">
        <v>2040</v>
      </c>
      <c r="E1554" s="136" t="s">
        <v>2042</v>
      </c>
      <c r="F1554" s="137" t="s">
        <v>378</v>
      </c>
      <c r="G1554" s="138">
        <v>2</v>
      </c>
      <c r="H1554" s="51">
        <v>0</v>
      </c>
      <c r="I1554" s="56">
        <v>0</v>
      </c>
      <c r="J1554" s="51">
        <v>0</v>
      </c>
      <c r="K1554" s="50">
        <f t="shared" si="136"/>
        <v>0</v>
      </c>
      <c r="L1554" s="52">
        <f t="shared" si="137"/>
        <v>0</v>
      </c>
    </row>
    <row r="1555" spans="3:12" s="53" customFormat="1" ht="43.15" customHeight="1">
      <c r="C1555" s="139" t="s">
        <v>2053</v>
      </c>
      <c r="D1555" s="135" t="s">
        <v>637</v>
      </c>
      <c r="E1555" s="136" t="s">
        <v>2042</v>
      </c>
      <c r="F1555" s="137" t="s">
        <v>378</v>
      </c>
      <c r="G1555" s="138">
        <v>1</v>
      </c>
      <c r="H1555" s="51">
        <v>0</v>
      </c>
      <c r="I1555" s="56">
        <v>0</v>
      </c>
      <c r="J1555" s="51">
        <v>0</v>
      </c>
      <c r="K1555" s="50">
        <f t="shared" si="136"/>
        <v>0</v>
      </c>
      <c r="L1555" s="52">
        <f t="shared" si="137"/>
        <v>0</v>
      </c>
    </row>
    <row r="1556" spans="3:12" s="53" customFormat="1" ht="43.15" customHeight="1">
      <c r="C1556" s="139" t="s">
        <v>2054</v>
      </c>
      <c r="D1556" s="135" t="s">
        <v>2043</v>
      </c>
      <c r="E1556" s="136" t="s">
        <v>2007</v>
      </c>
      <c r="F1556" s="137" t="s">
        <v>26</v>
      </c>
      <c r="G1556" s="138">
        <v>1</v>
      </c>
      <c r="H1556" s="51">
        <v>0</v>
      </c>
      <c r="I1556" s="56">
        <v>0</v>
      </c>
      <c r="J1556" s="51">
        <v>0</v>
      </c>
      <c r="K1556" s="50">
        <f t="shared" si="136"/>
        <v>0</v>
      </c>
      <c r="L1556" s="52">
        <f t="shared" si="137"/>
        <v>0</v>
      </c>
    </row>
    <row r="1557" spans="3:12" s="53" customFormat="1" ht="43.15" customHeight="1">
      <c r="C1557" s="139" t="s">
        <v>2055</v>
      </c>
      <c r="D1557" s="135" t="s">
        <v>2041</v>
      </c>
      <c r="E1557" s="136" t="s">
        <v>848</v>
      </c>
      <c r="F1557" s="137" t="s">
        <v>26</v>
      </c>
      <c r="G1557" s="138">
        <v>1</v>
      </c>
      <c r="H1557" s="51">
        <v>0</v>
      </c>
      <c r="I1557" s="56">
        <v>0</v>
      </c>
      <c r="J1557" s="51">
        <v>0</v>
      </c>
      <c r="K1557" s="50">
        <f t="shared" si="136"/>
        <v>0</v>
      </c>
      <c r="L1557" s="52">
        <f t="shared" si="137"/>
        <v>0</v>
      </c>
    </row>
    <row r="1558" spans="3:12" s="53" customFormat="1">
      <c r="C1558" s="139"/>
      <c r="D1558" s="135"/>
      <c r="E1558" s="136"/>
      <c r="F1558" s="137"/>
      <c r="G1558" s="138"/>
      <c r="H1558" s="131"/>
      <c r="I1558" s="132"/>
      <c r="J1558" s="131"/>
      <c r="K1558" s="133"/>
      <c r="L1558" s="134"/>
    </row>
    <row r="1559" spans="3:12" s="53" customFormat="1" ht="43.15" customHeight="1">
      <c r="C1559" s="196" t="s">
        <v>2056</v>
      </c>
      <c r="D1559" s="197" t="s">
        <v>179</v>
      </c>
      <c r="E1559" s="136"/>
      <c r="F1559" s="137"/>
      <c r="G1559" s="138"/>
      <c r="H1559" s="131"/>
      <c r="I1559" s="132"/>
      <c r="J1559" s="131"/>
      <c r="K1559" s="133"/>
      <c r="L1559" s="134"/>
    </row>
    <row r="1560" spans="3:12" s="53" customFormat="1">
      <c r="C1560" s="139"/>
      <c r="D1560" s="135"/>
      <c r="E1560" s="136"/>
      <c r="F1560" s="137"/>
      <c r="G1560" s="138"/>
      <c r="H1560" s="131"/>
      <c r="I1560" s="132"/>
      <c r="J1560" s="131"/>
      <c r="K1560" s="133"/>
      <c r="L1560" s="134"/>
    </row>
    <row r="1561" spans="3:12" s="53" customFormat="1" ht="32.450000000000003" customHeight="1">
      <c r="C1561" s="139" t="s">
        <v>2064</v>
      </c>
      <c r="D1561" s="135" t="s">
        <v>2063</v>
      </c>
      <c r="E1561" s="136"/>
      <c r="F1561" s="137"/>
      <c r="G1561" s="138"/>
      <c r="H1561" s="131"/>
      <c r="I1561" s="132"/>
      <c r="J1561" s="131"/>
      <c r="K1561" s="133"/>
      <c r="L1561" s="134"/>
    </row>
    <row r="1562" spans="3:12" s="53" customFormat="1" ht="32.450000000000003" customHeight="1">
      <c r="C1562" s="139" t="s">
        <v>2065</v>
      </c>
      <c r="D1562" s="135" t="s">
        <v>215</v>
      </c>
      <c r="E1562" s="136" t="s">
        <v>2062</v>
      </c>
      <c r="F1562" s="137" t="s">
        <v>378</v>
      </c>
      <c r="G1562" s="138">
        <v>1</v>
      </c>
      <c r="H1562" s="51">
        <v>0</v>
      </c>
      <c r="I1562" s="56">
        <v>0</v>
      </c>
      <c r="J1562" s="51">
        <v>0</v>
      </c>
      <c r="K1562" s="50">
        <f t="shared" ref="K1562:K1568" si="138">+H1562+I1562+J1562</f>
        <v>0</v>
      </c>
      <c r="L1562" s="52">
        <f t="shared" ref="L1562:L1568" si="139">+K1562*G1562</f>
        <v>0</v>
      </c>
    </row>
    <row r="1563" spans="3:12" s="53" customFormat="1" ht="32.450000000000003" customHeight="1">
      <c r="C1563" s="139" t="s">
        <v>2066</v>
      </c>
      <c r="D1563" s="135" t="s">
        <v>2058</v>
      </c>
      <c r="E1563" s="136" t="s">
        <v>2062</v>
      </c>
      <c r="F1563" s="137" t="s">
        <v>378</v>
      </c>
      <c r="G1563" s="138">
        <v>1</v>
      </c>
      <c r="H1563" s="51">
        <v>0</v>
      </c>
      <c r="I1563" s="56">
        <v>0</v>
      </c>
      <c r="J1563" s="51">
        <v>0</v>
      </c>
      <c r="K1563" s="50">
        <f t="shared" si="138"/>
        <v>0</v>
      </c>
      <c r="L1563" s="52">
        <f t="shared" si="139"/>
        <v>0</v>
      </c>
    </row>
    <row r="1564" spans="3:12" s="53" customFormat="1" ht="32.450000000000003" customHeight="1">
      <c r="C1564" s="139" t="s">
        <v>2067</v>
      </c>
      <c r="D1564" s="135" t="s">
        <v>2059</v>
      </c>
      <c r="E1564" s="136" t="s">
        <v>2062</v>
      </c>
      <c r="F1564" s="137" t="s">
        <v>378</v>
      </c>
      <c r="G1564" s="138">
        <v>5</v>
      </c>
      <c r="H1564" s="51">
        <v>0</v>
      </c>
      <c r="I1564" s="56">
        <v>0</v>
      </c>
      <c r="J1564" s="51">
        <v>0</v>
      </c>
      <c r="K1564" s="50">
        <f t="shared" si="138"/>
        <v>0</v>
      </c>
      <c r="L1564" s="52">
        <f t="shared" si="139"/>
        <v>0</v>
      </c>
    </row>
    <row r="1565" spans="3:12" s="53" customFormat="1" ht="32.450000000000003" customHeight="1">
      <c r="C1565" s="139" t="s">
        <v>2068</v>
      </c>
      <c r="D1565" s="135" t="s">
        <v>2060</v>
      </c>
      <c r="E1565" s="136" t="s">
        <v>2062</v>
      </c>
      <c r="F1565" s="137" t="s">
        <v>378</v>
      </c>
      <c r="G1565" s="138">
        <v>3</v>
      </c>
      <c r="H1565" s="51">
        <v>0</v>
      </c>
      <c r="I1565" s="56">
        <v>0</v>
      </c>
      <c r="J1565" s="51">
        <v>0</v>
      </c>
      <c r="K1565" s="50">
        <f t="shared" si="138"/>
        <v>0</v>
      </c>
      <c r="L1565" s="52">
        <f t="shared" si="139"/>
        <v>0</v>
      </c>
    </row>
    <row r="1566" spans="3:12" s="53" customFormat="1" ht="32.450000000000003" customHeight="1">
      <c r="C1566" s="139" t="s">
        <v>2069</v>
      </c>
      <c r="D1566" s="135" t="s">
        <v>2061</v>
      </c>
      <c r="E1566" s="136" t="s">
        <v>2062</v>
      </c>
      <c r="F1566" s="137" t="s">
        <v>378</v>
      </c>
      <c r="G1566" s="138">
        <v>1</v>
      </c>
      <c r="H1566" s="51">
        <v>0</v>
      </c>
      <c r="I1566" s="56">
        <v>0</v>
      </c>
      <c r="J1566" s="51">
        <v>0</v>
      </c>
      <c r="K1566" s="50">
        <f t="shared" si="138"/>
        <v>0</v>
      </c>
      <c r="L1566" s="52">
        <f t="shared" si="139"/>
        <v>0</v>
      </c>
    </row>
    <row r="1567" spans="3:12" s="53" customFormat="1" ht="32.450000000000003" customHeight="1">
      <c r="C1567" s="139" t="s">
        <v>2070</v>
      </c>
      <c r="D1567" s="135" t="s">
        <v>2174</v>
      </c>
      <c r="E1567" s="136" t="s">
        <v>1864</v>
      </c>
      <c r="F1567" s="137" t="s">
        <v>378</v>
      </c>
      <c r="G1567" s="138">
        <v>3</v>
      </c>
      <c r="H1567" s="195"/>
      <c r="I1567" s="56">
        <v>0</v>
      </c>
      <c r="J1567" s="51">
        <v>0</v>
      </c>
      <c r="K1567" s="50">
        <f>+H1567+I1567+J1567</f>
        <v>0</v>
      </c>
      <c r="L1567" s="52">
        <f>+K1567*G1567</f>
        <v>0</v>
      </c>
    </row>
    <row r="1568" spans="3:12" s="53" customFormat="1" ht="32.450000000000003" customHeight="1">
      <c r="C1568" s="139" t="s">
        <v>2173</v>
      </c>
      <c r="D1568" s="135" t="s">
        <v>2041</v>
      </c>
      <c r="E1568" s="136" t="s">
        <v>2062</v>
      </c>
      <c r="F1568" s="137" t="s">
        <v>378</v>
      </c>
      <c r="G1568" s="138">
        <v>1</v>
      </c>
      <c r="H1568" s="51">
        <v>0</v>
      </c>
      <c r="I1568" s="56">
        <v>0</v>
      </c>
      <c r="J1568" s="51">
        <v>0</v>
      </c>
      <c r="K1568" s="50">
        <f t="shared" si="138"/>
        <v>0</v>
      </c>
      <c r="L1568" s="52">
        <f t="shared" si="139"/>
        <v>0</v>
      </c>
    </row>
    <row r="1569" spans="3:12" s="53" customFormat="1">
      <c r="C1569" s="139"/>
      <c r="D1569" s="135"/>
      <c r="E1569" s="136"/>
      <c r="F1569" s="137"/>
      <c r="G1569" s="138"/>
      <c r="H1569" s="131"/>
      <c r="I1569" s="132"/>
      <c r="J1569" s="131"/>
      <c r="K1569" s="133"/>
      <c r="L1569" s="134"/>
    </row>
    <row r="1570" spans="3:12" s="53" customFormat="1" ht="36.6" customHeight="1">
      <c r="C1570" s="196" t="s">
        <v>2071</v>
      </c>
      <c r="D1570" s="197" t="s">
        <v>2072</v>
      </c>
      <c r="E1570" s="136"/>
      <c r="F1570" s="137"/>
      <c r="G1570" s="138"/>
      <c r="H1570" s="131"/>
      <c r="I1570" s="132"/>
      <c r="J1570" s="131"/>
      <c r="K1570" s="133"/>
      <c r="L1570" s="134"/>
    </row>
    <row r="1571" spans="3:12" s="53" customFormat="1">
      <c r="C1571" s="139"/>
      <c r="D1571" s="135"/>
      <c r="E1571" s="136"/>
      <c r="F1571" s="137"/>
      <c r="G1571" s="138"/>
      <c r="H1571" s="131"/>
      <c r="I1571" s="132"/>
      <c r="J1571" s="131"/>
      <c r="K1571" s="133"/>
      <c r="L1571" s="134"/>
    </row>
    <row r="1572" spans="3:12" s="53" customFormat="1" ht="28.9" customHeight="1">
      <c r="C1572" s="139" t="s">
        <v>2083</v>
      </c>
      <c r="D1572" s="135" t="s">
        <v>2073</v>
      </c>
      <c r="E1572" s="136" t="s">
        <v>2082</v>
      </c>
      <c r="F1572" s="137" t="s">
        <v>26</v>
      </c>
      <c r="G1572" s="138">
        <v>1</v>
      </c>
      <c r="H1572" s="51">
        <v>0</v>
      </c>
      <c r="I1572" s="56">
        <v>0</v>
      </c>
      <c r="J1572" s="51">
        <v>0</v>
      </c>
      <c r="K1572" s="50">
        <f t="shared" ref="K1572:K1580" si="140">+H1572+I1572+J1572</f>
        <v>0</v>
      </c>
      <c r="L1572" s="52">
        <f t="shared" ref="L1572:L1580" si="141">+K1572*G1572</f>
        <v>0</v>
      </c>
    </row>
    <row r="1573" spans="3:12" s="53" customFormat="1" ht="28.9" customHeight="1">
      <c r="C1573" s="139" t="s">
        <v>2084</v>
      </c>
      <c r="D1573" s="135" t="s">
        <v>2074</v>
      </c>
      <c r="E1573" s="136" t="s">
        <v>2082</v>
      </c>
      <c r="F1573" s="137" t="s">
        <v>378</v>
      </c>
      <c r="G1573" s="138">
        <v>2</v>
      </c>
      <c r="H1573" s="51">
        <v>0</v>
      </c>
      <c r="I1573" s="56">
        <v>0</v>
      </c>
      <c r="J1573" s="51">
        <v>0</v>
      </c>
      <c r="K1573" s="50">
        <f t="shared" si="140"/>
        <v>0</v>
      </c>
      <c r="L1573" s="52">
        <f t="shared" si="141"/>
        <v>0</v>
      </c>
    </row>
    <row r="1574" spans="3:12" s="53" customFormat="1" ht="28.9" customHeight="1">
      <c r="C1574" s="139" t="s">
        <v>2085</v>
      </c>
      <c r="D1574" s="135" t="s">
        <v>2075</v>
      </c>
      <c r="E1574" s="136" t="s">
        <v>2082</v>
      </c>
      <c r="F1574" s="137" t="s">
        <v>378</v>
      </c>
      <c r="G1574" s="138">
        <v>1</v>
      </c>
      <c r="H1574" s="51">
        <v>0</v>
      </c>
      <c r="I1574" s="56">
        <v>0</v>
      </c>
      <c r="J1574" s="51">
        <v>0</v>
      </c>
      <c r="K1574" s="50">
        <f t="shared" si="140"/>
        <v>0</v>
      </c>
      <c r="L1574" s="52">
        <f t="shared" si="141"/>
        <v>0</v>
      </c>
    </row>
    <row r="1575" spans="3:12" s="53" customFormat="1" ht="28.9" customHeight="1">
      <c r="C1575" s="139" t="s">
        <v>2086</v>
      </c>
      <c r="D1575" s="135" t="s">
        <v>2076</v>
      </c>
      <c r="E1575" s="136" t="s">
        <v>2082</v>
      </c>
      <c r="F1575" s="137" t="s">
        <v>378</v>
      </c>
      <c r="G1575" s="138">
        <v>2</v>
      </c>
      <c r="H1575" s="51">
        <v>0</v>
      </c>
      <c r="I1575" s="56">
        <v>0</v>
      </c>
      <c r="J1575" s="51">
        <v>0</v>
      </c>
      <c r="K1575" s="50">
        <f t="shared" si="140"/>
        <v>0</v>
      </c>
      <c r="L1575" s="52">
        <f t="shared" si="141"/>
        <v>0</v>
      </c>
    </row>
    <row r="1576" spans="3:12" s="53" customFormat="1" ht="28.9" customHeight="1">
      <c r="C1576" s="139" t="s">
        <v>2087</v>
      </c>
      <c r="D1576" s="135" t="s">
        <v>2077</v>
      </c>
      <c r="E1576" s="136" t="s">
        <v>2082</v>
      </c>
      <c r="F1576" s="137" t="s">
        <v>378</v>
      </c>
      <c r="G1576" s="138">
        <v>2</v>
      </c>
      <c r="H1576" s="51">
        <v>0</v>
      </c>
      <c r="I1576" s="56">
        <v>0</v>
      </c>
      <c r="J1576" s="51">
        <v>0</v>
      </c>
      <c r="K1576" s="50">
        <f t="shared" si="140"/>
        <v>0</v>
      </c>
      <c r="L1576" s="52">
        <f t="shared" si="141"/>
        <v>0</v>
      </c>
    </row>
    <row r="1577" spans="3:12" s="53" customFormat="1" ht="28.9" customHeight="1">
      <c r="C1577" s="139" t="s">
        <v>2088</v>
      </c>
      <c r="D1577" s="135" t="s">
        <v>2078</v>
      </c>
      <c r="E1577" s="136" t="s">
        <v>2082</v>
      </c>
      <c r="F1577" s="137" t="s">
        <v>378</v>
      </c>
      <c r="G1577" s="138">
        <v>2</v>
      </c>
      <c r="H1577" s="51">
        <v>0</v>
      </c>
      <c r="I1577" s="56">
        <v>0</v>
      </c>
      <c r="J1577" s="51">
        <v>0</v>
      </c>
      <c r="K1577" s="50">
        <f t="shared" si="140"/>
        <v>0</v>
      </c>
      <c r="L1577" s="52">
        <f t="shared" si="141"/>
        <v>0</v>
      </c>
    </row>
    <row r="1578" spans="3:12" s="53" customFormat="1" ht="28.9" customHeight="1">
      <c r="C1578" s="139" t="s">
        <v>2089</v>
      </c>
      <c r="D1578" s="135" t="s">
        <v>2079</v>
      </c>
      <c r="E1578" s="136" t="s">
        <v>2082</v>
      </c>
      <c r="F1578" s="137" t="s">
        <v>378</v>
      </c>
      <c r="G1578" s="138">
        <v>100</v>
      </c>
      <c r="H1578" s="51">
        <v>0</v>
      </c>
      <c r="I1578" s="56">
        <v>0</v>
      </c>
      <c r="J1578" s="51">
        <v>0</v>
      </c>
      <c r="K1578" s="50">
        <f t="shared" si="140"/>
        <v>0</v>
      </c>
      <c r="L1578" s="52">
        <f t="shared" si="141"/>
        <v>0</v>
      </c>
    </row>
    <row r="1579" spans="3:12" s="53" customFormat="1" ht="28.9" customHeight="1">
      <c r="C1579" s="139" t="s">
        <v>2090</v>
      </c>
      <c r="D1579" s="135" t="s">
        <v>2080</v>
      </c>
      <c r="E1579" s="136" t="s">
        <v>2082</v>
      </c>
      <c r="F1579" s="137" t="s">
        <v>378</v>
      </c>
      <c r="G1579" s="138">
        <v>1</v>
      </c>
      <c r="H1579" s="51">
        <v>0</v>
      </c>
      <c r="I1579" s="56">
        <v>0</v>
      </c>
      <c r="J1579" s="51">
        <v>0</v>
      </c>
      <c r="K1579" s="50">
        <f t="shared" si="140"/>
        <v>0</v>
      </c>
      <c r="L1579" s="52">
        <f t="shared" si="141"/>
        <v>0</v>
      </c>
    </row>
    <row r="1580" spans="3:12" s="53" customFormat="1" ht="28.9" customHeight="1">
      <c r="C1580" s="139" t="s">
        <v>2091</v>
      </c>
      <c r="D1580" s="135" t="s">
        <v>2081</v>
      </c>
      <c r="E1580" s="136" t="s">
        <v>2082</v>
      </c>
      <c r="F1580" s="137" t="s">
        <v>26</v>
      </c>
      <c r="G1580" s="138">
        <v>2</v>
      </c>
      <c r="H1580" s="51">
        <v>0</v>
      </c>
      <c r="I1580" s="56">
        <v>0</v>
      </c>
      <c r="J1580" s="51">
        <v>0</v>
      </c>
      <c r="K1580" s="50">
        <f t="shared" si="140"/>
        <v>0</v>
      </c>
      <c r="L1580" s="52">
        <f t="shared" si="141"/>
        <v>0</v>
      </c>
    </row>
    <row r="1581" spans="3:12" s="53" customFormat="1">
      <c r="C1581" s="139"/>
      <c r="D1581" s="135"/>
      <c r="E1581" s="136"/>
      <c r="F1581" s="137"/>
      <c r="G1581" s="138"/>
      <c r="H1581" s="131"/>
      <c r="I1581" s="132"/>
      <c r="J1581" s="131"/>
      <c r="K1581" s="133"/>
      <c r="L1581" s="134"/>
    </row>
    <row r="1582" spans="3:12" s="35" customFormat="1" ht="37.5">
      <c r="C1582" s="112" t="s">
        <v>2187</v>
      </c>
      <c r="D1582" s="39" t="s">
        <v>858</v>
      </c>
      <c r="E1582" s="40"/>
      <c r="F1582" s="113"/>
      <c r="G1582" s="114"/>
      <c r="H1582" s="115"/>
      <c r="I1582" s="116"/>
      <c r="J1582" s="116"/>
      <c r="K1582" s="117"/>
      <c r="L1582" s="118"/>
    </row>
    <row r="1583" spans="3:12" s="78" customFormat="1" ht="31.9" customHeight="1">
      <c r="C1583" s="60" t="s">
        <v>2100</v>
      </c>
      <c r="D1583" s="111" t="s">
        <v>2311</v>
      </c>
      <c r="E1583" s="91" t="s">
        <v>900</v>
      </c>
      <c r="F1583" s="48" t="s">
        <v>378</v>
      </c>
      <c r="G1583" s="77">
        <v>2</v>
      </c>
      <c r="H1583" s="50">
        <v>0</v>
      </c>
      <c r="I1583" s="54">
        <v>0</v>
      </c>
      <c r="J1583" s="50">
        <v>0</v>
      </c>
      <c r="K1583" s="50">
        <f>+H1583+I1583+J1583</f>
        <v>0</v>
      </c>
      <c r="L1583" s="52">
        <f>+K1583*G1583</f>
        <v>0</v>
      </c>
    </row>
    <row r="1584" spans="3:12" s="78" customFormat="1" ht="31.9" customHeight="1">
      <c r="C1584" s="60" t="s">
        <v>2101</v>
      </c>
      <c r="D1584" s="111" t="s">
        <v>2312</v>
      </c>
      <c r="E1584" s="91" t="s">
        <v>900</v>
      </c>
      <c r="F1584" s="48" t="s">
        <v>378</v>
      </c>
      <c r="G1584" s="77">
        <v>2</v>
      </c>
      <c r="H1584" s="50">
        <v>0</v>
      </c>
      <c r="I1584" s="54">
        <v>0</v>
      </c>
      <c r="J1584" s="50">
        <v>0</v>
      </c>
      <c r="K1584" s="50">
        <f>+H1584+I1584+J1584</f>
        <v>0</v>
      </c>
      <c r="L1584" s="52">
        <f>+K1584*G1584</f>
        <v>0</v>
      </c>
    </row>
    <row r="1585" spans="3:12" s="78" customFormat="1" ht="31.9" customHeight="1">
      <c r="C1585" s="60" t="s">
        <v>2102</v>
      </c>
      <c r="D1585" s="111" t="s">
        <v>2313</v>
      </c>
      <c r="E1585" s="91" t="s">
        <v>900</v>
      </c>
      <c r="F1585" s="48" t="s">
        <v>378</v>
      </c>
      <c r="G1585" s="77">
        <v>1</v>
      </c>
      <c r="H1585" s="50">
        <v>0</v>
      </c>
      <c r="I1585" s="54">
        <v>0</v>
      </c>
      <c r="J1585" s="50">
        <v>0</v>
      </c>
      <c r="K1585" s="50">
        <f>+H1585+I1585+J1585</f>
        <v>0</v>
      </c>
      <c r="L1585" s="52">
        <f>+K1585*G1585</f>
        <v>0</v>
      </c>
    </row>
    <row r="1586" spans="3:12" s="78" customFormat="1" ht="31.9" customHeight="1">
      <c r="C1586" s="60" t="s">
        <v>2103</v>
      </c>
      <c r="D1586" s="111" t="s">
        <v>2314</v>
      </c>
      <c r="E1586" s="91" t="s">
        <v>900</v>
      </c>
      <c r="F1586" s="48" t="s">
        <v>378</v>
      </c>
      <c r="G1586" s="77">
        <v>4</v>
      </c>
      <c r="H1586" s="50">
        <v>0</v>
      </c>
      <c r="I1586" s="54">
        <v>0</v>
      </c>
      <c r="J1586" s="50">
        <v>0</v>
      </c>
      <c r="K1586" s="50">
        <f>+H1586+I1586+J1586</f>
        <v>0</v>
      </c>
      <c r="L1586" s="52">
        <f>+K1586*G1586</f>
        <v>0</v>
      </c>
    </row>
    <row r="1587" spans="3:12" s="78" customFormat="1" ht="31.9" customHeight="1">
      <c r="C1587" s="60" t="s">
        <v>2104</v>
      </c>
      <c r="D1587" s="111" t="s">
        <v>2315</v>
      </c>
      <c r="E1587" s="91" t="s">
        <v>900</v>
      </c>
      <c r="F1587" s="48" t="s">
        <v>378</v>
      </c>
      <c r="G1587" s="77">
        <v>2</v>
      </c>
      <c r="H1587" s="50">
        <v>0</v>
      </c>
      <c r="I1587" s="54">
        <v>0</v>
      </c>
      <c r="J1587" s="50">
        <v>0</v>
      </c>
      <c r="K1587" s="50">
        <f>+H1587+I1587+J1587</f>
        <v>0</v>
      </c>
      <c r="L1587" s="52">
        <f>+K1587*G1587</f>
        <v>0</v>
      </c>
    </row>
    <row r="1588" spans="3:12" s="78" customFormat="1" ht="31.9" customHeight="1">
      <c r="C1588" s="60" t="s">
        <v>2105</v>
      </c>
      <c r="D1588" s="111" t="s">
        <v>2316</v>
      </c>
      <c r="E1588" s="91" t="s">
        <v>900</v>
      </c>
      <c r="F1588" s="48" t="s">
        <v>378</v>
      </c>
      <c r="G1588" s="77">
        <v>1</v>
      </c>
      <c r="H1588" s="50">
        <v>0</v>
      </c>
      <c r="I1588" s="54">
        <v>0</v>
      </c>
      <c r="J1588" s="50">
        <v>0</v>
      </c>
      <c r="K1588" s="50">
        <f t="shared" ref="K1588:K1595" si="142">+H1588+I1588+J1588</f>
        <v>0</v>
      </c>
      <c r="L1588" s="52">
        <f t="shared" ref="L1588:L1595" si="143">+K1588*G1588</f>
        <v>0</v>
      </c>
    </row>
    <row r="1589" spans="3:12" s="78" customFormat="1" ht="31.9" customHeight="1">
      <c r="C1589" s="60" t="s">
        <v>2188</v>
      </c>
      <c r="D1589" s="111" t="s">
        <v>247</v>
      </c>
      <c r="E1589" s="91" t="s">
        <v>900</v>
      </c>
      <c r="F1589" s="48" t="s">
        <v>378</v>
      </c>
      <c r="G1589" s="77">
        <v>1</v>
      </c>
      <c r="H1589" s="50">
        <v>0</v>
      </c>
      <c r="I1589" s="54">
        <v>0</v>
      </c>
      <c r="J1589" s="50">
        <v>0</v>
      </c>
      <c r="K1589" s="50">
        <f t="shared" si="142"/>
        <v>0</v>
      </c>
      <c r="L1589" s="52">
        <f t="shared" si="143"/>
        <v>0</v>
      </c>
    </row>
    <row r="1590" spans="3:12" s="78" customFormat="1" ht="31.9" customHeight="1">
      <c r="C1590" s="60" t="s">
        <v>2189</v>
      </c>
      <c r="D1590" s="111" t="s">
        <v>248</v>
      </c>
      <c r="E1590" s="91" t="s">
        <v>900</v>
      </c>
      <c r="F1590" s="48" t="s">
        <v>378</v>
      </c>
      <c r="G1590" s="77">
        <v>1</v>
      </c>
      <c r="H1590" s="50">
        <v>0</v>
      </c>
      <c r="I1590" s="54">
        <v>0</v>
      </c>
      <c r="J1590" s="50">
        <v>0</v>
      </c>
      <c r="K1590" s="50">
        <f t="shared" si="142"/>
        <v>0</v>
      </c>
      <c r="L1590" s="52">
        <f t="shared" si="143"/>
        <v>0</v>
      </c>
    </row>
    <row r="1591" spans="3:12" s="78" customFormat="1" ht="28.15" customHeight="1">
      <c r="C1591" s="60" t="s">
        <v>2190</v>
      </c>
      <c r="D1591" s="111" t="s">
        <v>2317</v>
      </c>
      <c r="E1591" s="91" t="s">
        <v>900</v>
      </c>
      <c r="F1591" s="48" t="s">
        <v>378</v>
      </c>
      <c r="G1591" s="77">
        <v>15</v>
      </c>
      <c r="H1591" s="50">
        <v>0</v>
      </c>
      <c r="I1591" s="54">
        <v>0</v>
      </c>
      <c r="J1591" s="50">
        <v>0</v>
      </c>
      <c r="K1591" s="50">
        <f t="shared" si="142"/>
        <v>0</v>
      </c>
      <c r="L1591" s="52">
        <f t="shared" si="143"/>
        <v>0</v>
      </c>
    </row>
    <row r="1592" spans="3:12" s="78" customFormat="1" ht="28.15" customHeight="1">
      <c r="C1592" s="60" t="s">
        <v>2191</v>
      </c>
      <c r="D1592" s="111" t="s">
        <v>2318</v>
      </c>
      <c r="E1592" s="91" t="s">
        <v>900</v>
      </c>
      <c r="F1592" s="48" t="s">
        <v>378</v>
      </c>
      <c r="G1592" s="77">
        <v>8</v>
      </c>
      <c r="H1592" s="50">
        <v>0</v>
      </c>
      <c r="I1592" s="54">
        <v>0</v>
      </c>
      <c r="J1592" s="50">
        <v>0</v>
      </c>
      <c r="K1592" s="50">
        <f t="shared" si="142"/>
        <v>0</v>
      </c>
      <c r="L1592" s="52">
        <f t="shared" si="143"/>
        <v>0</v>
      </c>
    </row>
    <row r="1593" spans="3:12" s="78" customFormat="1" ht="28.15" customHeight="1">
      <c r="C1593" s="60" t="s">
        <v>2192</v>
      </c>
      <c r="D1593" s="111" t="s">
        <v>250</v>
      </c>
      <c r="E1593" s="91" t="s">
        <v>900</v>
      </c>
      <c r="F1593" s="48" t="s">
        <v>378</v>
      </c>
      <c r="G1593" s="77">
        <v>2</v>
      </c>
      <c r="H1593" s="50">
        <v>0</v>
      </c>
      <c r="I1593" s="54">
        <v>0</v>
      </c>
      <c r="J1593" s="50">
        <v>0</v>
      </c>
      <c r="K1593" s="50">
        <f t="shared" si="142"/>
        <v>0</v>
      </c>
      <c r="L1593" s="52">
        <f t="shared" si="143"/>
        <v>0</v>
      </c>
    </row>
    <row r="1594" spans="3:12" s="78" customFormat="1" ht="28.15" customHeight="1">
      <c r="C1594" s="60" t="s">
        <v>2193</v>
      </c>
      <c r="D1594" s="111" t="s">
        <v>750</v>
      </c>
      <c r="E1594" s="91" t="s">
        <v>900</v>
      </c>
      <c r="F1594" s="48" t="s">
        <v>378</v>
      </c>
      <c r="G1594" s="77">
        <v>6</v>
      </c>
      <c r="H1594" s="50">
        <v>0</v>
      </c>
      <c r="I1594" s="54">
        <v>0</v>
      </c>
      <c r="J1594" s="50">
        <v>0</v>
      </c>
      <c r="K1594" s="50">
        <f t="shared" si="142"/>
        <v>0</v>
      </c>
      <c r="L1594" s="52">
        <f t="shared" si="143"/>
        <v>0</v>
      </c>
    </row>
    <row r="1595" spans="3:12" s="78" customFormat="1" ht="28.15" customHeight="1">
      <c r="C1595" s="60" t="s">
        <v>2194</v>
      </c>
      <c r="D1595" s="111" t="s">
        <v>751</v>
      </c>
      <c r="E1595" s="91" t="s">
        <v>900</v>
      </c>
      <c r="F1595" s="48" t="s">
        <v>378</v>
      </c>
      <c r="G1595" s="77">
        <v>10</v>
      </c>
      <c r="H1595" s="50">
        <v>0</v>
      </c>
      <c r="I1595" s="54">
        <v>0</v>
      </c>
      <c r="J1595" s="50">
        <v>0</v>
      </c>
      <c r="K1595" s="50">
        <f t="shared" si="142"/>
        <v>0</v>
      </c>
      <c r="L1595" s="52">
        <f t="shared" si="143"/>
        <v>0</v>
      </c>
    </row>
    <row r="1596" spans="3:12" s="78" customFormat="1" ht="28.15" customHeight="1">
      <c r="C1596" s="60" t="s">
        <v>2195</v>
      </c>
      <c r="D1596" s="111" t="s">
        <v>752</v>
      </c>
      <c r="E1596" s="91" t="s">
        <v>900</v>
      </c>
      <c r="F1596" s="48" t="s">
        <v>378</v>
      </c>
      <c r="G1596" s="77">
        <v>9</v>
      </c>
      <c r="H1596" s="50">
        <v>0</v>
      </c>
      <c r="I1596" s="54">
        <v>0</v>
      </c>
      <c r="J1596" s="50">
        <v>0</v>
      </c>
      <c r="K1596" s="50">
        <f>+H1596+I1596+J1596</f>
        <v>0</v>
      </c>
      <c r="L1596" s="52">
        <f>+K1596*G1596</f>
        <v>0</v>
      </c>
    </row>
    <row r="1597" spans="3:12" s="78" customFormat="1" ht="28.15" customHeight="1">
      <c r="C1597" s="60" t="s">
        <v>2196</v>
      </c>
      <c r="D1597" s="111" t="s">
        <v>753</v>
      </c>
      <c r="E1597" s="91" t="s">
        <v>900</v>
      </c>
      <c r="F1597" s="48" t="s">
        <v>378</v>
      </c>
      <c r="G1597" s="77">
        <v>1</v>
      </c>
      <c r="H1597" s="50">
        <v>0</v>
      </c>
      <c r="I1597" s="54">
        <v>0</v>
      </c>
      <c r="J1597" s="50">
        <v>0</v>
      </c>
      <c r="K1597" s="50">
        <f>+H1597+I1597+J1597</f>
        <v>0</v>
      </c>
      <c r="L1597" s="52">
        <f>+K1597*G1597</f>
        <v>0</v>
      </c>
    </row>
    <row r="1598" spans="3:12" s="78" customFormat="1" ht="28.15" customHeight="1">
      <c r="C1598" s="60" t="s">
        <v>2197</v>
      </c>
      <c r="D1598" s="111" t="s">
        <v>754</v>
      </c>
      <c r="E1598" s="91" t="s">
        <v>900</v>
      </c>
      <c r="F1598" s="48" t="s">
        <v>378</v>
      </c>
      <c r="G1598" s="77">
        <v>4</v>
      </c>
      <c r="H1598" s="50">
        <v>0</v>
      </c>
      <c r="I1598" s="54">
        <v>0</v>
      </c>
      <c r="J1598" s="50">
        <v>0</v>
      </c>
      <c r="K1598" s="50">
        <f>+H1598+I1598+J1598</f>
        <v>0</v>
      </c>
      <c r="L1598" s="52">
        <f>+K1598*G1598</f>
        <v>0</v>
      </c>
    </row>
    <row r="1599" spans="3:12" s="53" customFormat="1" ht="28.9" customHeight="1">
      <c r="C1599" s="60" t="s">
        <v>2198</v>
      </c>
      <c r="D1599" s="135" t="s">
        <v>2092</v>
      </c>
      <c r="E1599" s="136" t="s">
        <v>1041</v>
      </c>
      <c r="F1599" s="137" t="s">
        <v>378</v>
      </c>
      <c r="G1599" s="138">
        <v>8</v>
      </c>
      <c r="H1599" s="51">
        <v>0</v>
      </c>
      <c r="I1599" s="56">
        <v>0</v>
      </c>
      <c r="J1599" s="51">
        <v>0</v>
      </c>
      <c r="K1599" s="50">
        <f t="shared" ref="K1599:K1604" si="144">+H1599+I1599+J1599</f>
        <v>0</v>
      </c>
      <c r="L1599" s="52">
        <f t="shared" ref="L1599:L1604" si="145">+K1599*G1599</f>
        <v>0</v>
      </c>
    </row>
    <row r="1600" spans="3:12" s="53" customFormat="1" ht="28.9" customHeight="1">
      <c r="C1600" s="60" t="s">
        <v>2199</v>
      </c>
      <c r="D1600" s="135" t="s">
        <v>2319</v>
      </c>
      <c r="E1600" s="136" t="s">
        <v>1041</v>
      </c>
      <c r="F1600" s="137" t="s">
        <v>378</v>
      </c>
      <c r="G1600" s="138">
        <v>4</v>
      </c>
      <c r="H1600" s="51">
        <v>0</v>
      </c>
      <c r="I1600" s="56">
        <v>0</v>
      </c>
      <c r="J1600" s="51">
        <v>0</v>
      </c>
      <c r="K1600" s="50">
        <f t="shared" si="144"/>
        <v>0</v>
      </c>
      <c r="L1600" s="52">
        <f t="shared" si="145"/>
        <v>0</v>
      </c>
    </row>
    <row r="1601" spans="3:12" s="53" customFormat="1" ht="28.9" customHeight="1">
      <c r="C1601" s="60" t="s">
        <v>2200</v>
      </c>
      <c r="D1601" s="135" t="s">
        <v>2093</v>
      </c>
      <c r="E1601" s="136" t="s">
        <v>2106</v>
      </c>
      <c r="F1601" s="137" t="s">
        <v>378</v>
      </c>
      <c r="G1601" s="138">
        <v>8</v>
      </c>
      <c r="H1601" s="51">
        <v>0</v>
      </c>
      <c r="I1601" s="56">
        <v>0</v>
      </c>
      <c r="J1601" s="51">
        <v>0</v>
      </c>
      <c r="K1601" s="50">
        <f t="shared" si="144"/>
        <v>0</v>
      </c>
      <c r="L1601" s="52">
        <f t="shared" si="145"/>
        <v>0</v>
      </c>
    </row>
    <row r="1602" spans="3:12" s="53" customFormat="1" ht="28.9" customHeight="1">
      <c r="C1602" s="60" t="s">
        <v>2201</v>
      </c>
      <c r="D1602" s="135" t="s">
        <v>2094</v>
      </c>
      <c r="E1602" s="136" t="s">
        <v>2106</v>
      </c>
      <c r="F1602" s="137" t="s">
        <v>378</v>
      </c>
      <c r="G1602" s="138">
        <v>6</v>
      </c>
      <c r="H1602" s="51">
        <v>0</v>
      </c>
      <c r="I1602" s="56">
        <v>0</v>
      </c>
      <c r="J1602" s="51">
        <v>0</v>
      </c>
      <c r="K1602" s="50">
        <f t="shared" si="144"/>
        <v>0</v>
      </c>
      <c r="L1602" s="52">
        <f t="shared" si="145"/>
        <v>0</v>
      </c>
    </row>
    <row r="1603" spans="3:12" s="53" customFormat="1" ht="28.9" customHeight="1">
      <c r="C1603" s="60" t="s">
        <v>2202</v>
      </c>
      <c r="D1603" s="135" t="s">
        <v>2095</v>
      </c>
      <c r="E1603" s="136" t="s">
        <v>2106</v>
      </c>
      <c r="F1603" s="137" t="s">
        <v>378</v>
      </c>
      <c r="G1603" s="138">
        <v>15</v>
      </c>
      <c r="H1603" s="51">
        <v>0</v>
      </c>
      <c r="I1603" s="56">
        <v>0</v>
      </c>
      <c r="J1603" s="51">
        <v>0</v>
      </c>
      <c r="K1603" s="50">
        <f t="shared" si="144"/>
        <v>0</v>
      </c>
      <c r="L1603" s="52">
        <f t="shared" si="145"/>
        <v>0</v>
      </c>
    </row>
    <row r="1604" spans="3:12" s="53" customFormat="1" ht="28.9" customHeight="1">
      <c r="C1604" s="60" t="s">
        <v>2203</v>
      </c>
      <c r="D1604" s="135" t="s">
        <v>2320</v>
      </c>
      <c r="E1604" s="136" t="s">
        <v>1041</v>
      </c>
      <c r="F1604" s="137" t="s">
        <v>378</v>
      </c>
      <c r="G1604" s="138">
        <v>3</v>
      </c>
      <c r="H1604" s="51">
        <v>0</v>
      </c>
      <c r="I1604" s="56">
        <v>0</v>
      </c>
      <c r="J1604" s="51">
        <v>0</v>
      </c>
      <c r="K1604" s="50">
        <f t="shared" si="144"/>
        <v>0</v>
      </c>
      <c r="L1604" s="52">
        <f t="shared" si="145"/>
        <v>0</v>
      </c>
    </row>
    <row r="1605" spans="3:12" s="53" customFormat="1">
      <c r="C1605" s="139"/>
      <c r="D1605" s="135"/>
      <c r="E1605" s="136"/>
      <c r="F1605" s="137"/>
      <c r="G1605" s="138"/>
      <c r="H1605" s="131"/>
      <c r="I1605" s="132"/>
      <c r="J1605" s="131"/>
      <c r="K1605" s="133"/>
      <c r="L1605" s="134"/>
    </row>
    <row r="1606" spans="3:12" s="53" customFormat="1" ht="27" customHeight="1">
      <c r="C1606" s="196" t="s">
        <v>1941</v>
      </c>
      <c r="D1606" s="197" t="s">
        <v>2096</v>
      </c>
      <c r="E1606" s="136"/>
      <c r="F1606" s="137"/>
      <c r="G1606" s="138"/>
      <c r="H1606" s="131"/>
      <c r="I1606" s="132"/>
      <c r="J1606" s="131"/>
      <c r="K1606" s="133"/>
      <c r="L1606" s="134"/>
    </row>
    <row r="1607" spans="3:12" s="53" customFormat="1">
      <c r="C1607" s="139"/>
      <c r="D1607" s="135"/>
      <c r="E1607" s="136"/>
      <c r="F1607" s="137"/>
      <c r="G1607" s="138"/>
      <c r="H1607" s="131"/>
      <c r="I1607" s="132"/>
      <c r="J1607" s="131"/>
      <c r="K1607" s="133"/>
      <c r="L1607" s="134"/>
    </row>
    <row r="1608" spans="3:12" s="53" customFormat="1" ht="30" customHeight="1">
      <c r="C1608" s="139" t="s">
        <v>2098</v>
      </c>
      <c r="D1608" s="135" t="s">
        <v>2097</v>
      </c>
      <c r="E1608" s="136" t="s">
        <v>2099</v>
      </c>
      <c r="F1608" s="137" t="s">
        <v>26</v>
      </c>
      <c r="G1608" s="138">
        <v>1</v>
      </c>
      <c r="H1608" s="51">
        <v>0</v>
      </c>
      <c r="I1608" s="56">
        <v>0</v>
      </c>
      <c r="J1608" s="51">
        <v>0</v>
      </c>
      <c r="K1608" s="50">
        <f>+H1608+I1608+J1608</f>
        <v>0</v>
      </c>
      <c r="L1608" s="52">
        <f>+K1608*G1608</f>
        <v>0</v>
      </c>
    </row>
    <row r="1609" spans="3:12" s="53" customFormat="1">
      <c r="C1609" s="139"/>
      <c r="D1609" s="135"/>
      <c r="E1609" s="136"/>
      <c r="F1609" s="137"/>
      <c r="G1609" s="138"/>
      <c r="H1609" s="131"/>
      <c r="I1609" s="132"/>
      <c r="J1609" s="131"/>
      <c r="K1609" s="133"/>
      <c r="L1609" s="134"/>
    </row>
    <row r="1610" spans="3:12" s="53" customFormat="1" ht="34.15" customHeight="1">
      <c r="C1610" s="196" t="s">
        <v>2151</v>
      </c>
      <c r="D1610" s="197" t="s">
        <v>2152</v>
      </c>
      <c r="E1610" s="136"/>
      <c r="F1610" s="137"/>
      <c r="G1610" s="138"/>
      <c r="H1610" s="131"/>
      <c r="I1610" s="132"/>
      <c r="J1610" s="131"/>
      <c r="K1610" s="133"/>
      <c r="L1610" s="134"/>
    </row>
    <row r="1611" spans="3:12" s="53" customFormat="1">
      <c r="C1611" s="139"/>
      <c r="D1611" s="135" t="s">
        <v>2308</v>
      </c>
      <c r="E1611" s="136"/>
      <c r="F1611" s="137"/>
      <c r="G1611" s="138"/>
      <c r="H1611" s="131"/>
      <c r="I1611" s="132"/>
      <c r="J1611" s="131"/>
      <c r="K1611" s="133"/>
      <c r="L1611" s="134"/>
    </row>
    <row r="1612" spans="3:12" s="53" customFormat="1" ht="28.9" customHeight="1">
      <c r="C1612" s="139" t="s">
        <v>2160</v>
      </c>
      <c r="D1612" s="135" t="s">
        <v>2153</v>
      </c>
      <c r="E1612" s="136" t="s">
        <v>352</v>
      </c>
      <c r="F1612" s="137" t="s">
        <v>378</v>
      </c>
      <c r="G1612" s="138">
        <v>50</v>
      </c>
      <c r="H1612" s="211">
        <v>0</v>
      </c>
      <c r="I1612" s="56">
        <v>0</v>
      </c>
      <c r="J1612" s="51">
        <v>0</v>
      </c>
      <c r="K1612" s="50">
        <f t="shared" ref="K1612:K1619" si="146">+H1612+I1612+J1612</f>
        <v>0</v>
      </c>
      <c r="L1612" s="52">
        <f t="shared" ref="L1612:L1619" si="147">+K1612*G1612</f>
        <v>0</v>
      </c>
    </row>
    <row r="1613" spans="3:12" s="53" customFormat="1" ht="28.9" customHeight="1">
      <c r="C1613" s="139" t="s">
        <v>2161</v>
      </c>
      <c r="D1613" s="135" t="s">
        <v>2159</v>
      </c>
      <c r="E1613" s="136" t="s">
        <v>352</v>
      </c>
      <c r="F1613" s="137" t="s">
        <v>378</v>
      </c>
      <c r="G1613" s="138">
        <v>16</v>
      </c>
      <c r="H1613" s="211">
        <v>0</v>
      </c>
      <c r="I1613" s="56">
        <v>0</v>
      </c>
      <c r="J1613" s="51">
        <v>0</v>
      </c>
      <c r="K1613" s="50">
        <f t="shared" si="146"/>
        <v>0</v>
      </c>
      <c r="L1613" s="52">
        <f t="shared" si="147"/>
        <v>0</v>
      </c>
    </row>
    <row r="1614" spans="3:12" s="53" customFormat="1" ht="28.9" customHeight="1">
      <c r="C1614" s="139" t="s">
        <v>2162</v>
      </c>
      <c r="D1614" s="135" t="s">
        <v>2154</v>
      </c>
      <c r="E1614" s="136" t="s">
        <v>352</v>
      </c>
      <c r="F1614" s="137" t="s">
        <v>378</v>
      </c>
      <c r="G1614" s="138">
        <v>40</v>
      </c>
      <c r="H1614" s="211">
        <v>0</v>
      </c>
      <c r="I1614" s="56">
        <v>0</v>
      </c>
      <c r="J1614" s="51">
        <v>0</v>
      </c>
      <c r="K1614" s="50">
        <f t="shared" si="146"/>
        <v>0</v>
      </c>
      <c r="L1614" s="52">
        <f t="shared" si="147"/>
        <v>0</v>
      </c>
    </row>
    <row r="1615" spans="3:12" s="53" customFormat="1" ht="28.9" customHeight="1">
      <c r="C1615" s="139" t="s">
        <v>2163</v>
      </c>
      <c r="D1615" s="135" t="s">
        <v>2156</v>
      </c>
      <c r="E1615" s="136" t="s">
        <v>352</v>
      </c>
      <c r="F1615" s="137" t="s">
        <v>378</v>
      </c>
      <c r="G1615" s="138">
        <v>60</v>
      </c>
      <c r="H1615" s="211">
        <v>0</v>
      </c>
      <c r="I1615" s="56">
        <v>0</v>
      </c>
      <c r="J1615" s="51">
        <v>0</v>
      </c>
      <c r="K1615" s="50">
        <f t="shared" si="146"/>
        <v>0</v>
      </c>
      <c r="L1615" s="52">
        <f t="shared" si="147"/>
        <v>0</v>
      </c>
    </row>
    <row r="1616" spans="3:12" s="53" customFormat="1" ht="28.9" customHeight="1">
      <c r="C1616" s="139" t="s">
        <v>2164</v>
      </c>
      <c r="D1616" s="135" t="s">
        <v>2155</v>
      </c>
      <c r="E1616" s="136" t="s">
        <v>352</v>
      </c>
      <c r="F1616" s="137" t="s">
        <v>378</v>
      </c>
      <c r="G1616" s="138">
        <v>8</v>
      </c>
      <c r="H1616" s="211">
        <v>0</v>
      </c>
      <c r="I1616" s="56">
        <v>0</v>
      </c>
      <c r="J1616" s="51">
        <v>0</v>
      </c>
      <c r="K1616" s="50">
        <f t="shared" si="146"/>
        <v>0</v>
      </c>
      <c r="L1616" s="52">
        <f t="shared" si="147"/>
        <v>0</v>
      </c>
    </row>
    <row r="1617" spans="3:12" s="53" customFormat="1" ht="28.9" customHeight="1">
      <c r="C1617" s="139" t="s">
        <v>2165</v>
      </c>
      <c r="D1617" s="135" t="s">
        <v>2157</v>
      </c>
      <c r="E1617" s="136" t="s">
        <v>352</v>
      </c>
      <c r="F1617" s="137" t="s">
        <v>378</v>
      </c>
      <c r="G1617" s="138">
        <v>8</v>
      </c>
      <c r="H1617" s="211">
        <v>0</v>
      </c>
      <c r="I1617" s="56">
        <v>0</v>
      </c>
      <c r="J1617" s="51">
        <v>0</v>
      </c>
      <c r="K1617" s="50">
        <f t="shared" si="146"/>
        <v>0</v>
      </c>
      <c r="L1617" s="52">
        <f t="shared" si="147"/>
        <v>0</v>
      </c>
    </row>
    <row r="1618" spans="3:12" s="53" customFormat="1" ht="28.9" customHeight="1">
      <c r="C1618" s="139" t="s">
        <v>2166</v>
      </c>
      <c r="D1618" s="135" t="s">
        <v>2158</v>
      </c>
      <c r="E1618" s="136" t="s">
        <v>352</v>
      </c>
      <c r="F1618" s="137" t="s">
        <v>378</v>
      </c>
      <c r="G1618" s="138">
        <v>5</v>
      </c>
      <c r="H1618" s="211">
        <v>0</v>
      </c>
      <c r="I1618" s="56">
        <v>0</v>
      </c>
      <c r="J1618" s="51">
        <v>0</v>
      </c>
      <c r="K1618" s="50">
        <f t="shared" si="146"/>
        <v>0</v>
      </c>
      <c r="L1618" s="52">
        <f t="shared" si="147"/>
        <v>0</v>
      </c>
    </row>
    <row r="1619" spans="3:12" s="53" customFormat="1" ht="28.9" customHeight="1">
      <c r="C1619" s="139" t="s">
        <v>2167</v>
      </c>
      <c r="D1619" s="135" t="s">
        <v>2168</v>
      </c>
      <c r="E1619" s="136" t="s">
        <v>352</v>
      </c>
      <c r="F1619" s="137" t="s">
        <v>378</v>
      </c>
      <c r="G1619" s="138">
        <v>5</v>
      </c>
      <c r="H1619" s="211">
        <v>0</v>
      </c>
      <c r="I1619" s="56">
        <v>0</v>
      </c>
      <c r="J1619" s="51">
        <v>0</v>
      </c>
      <c r="K1619" s="50">
        <f t="shared" si="146"/>
        <v>0</v>
      </c>
      <c r="L1619" s="52">
        <f t="shared" si="147"/>
        <v>0</v>
      </c>
    </row>
    <row r="1620" spans="3:12" s="53" customFormat="1">
      <c r="C1620" s="139"/>
      <c r="D1620" s="135"/>
      <c r="E1620" s="136"/>
      <c r="F1620" s="137"/>
      <c r="G1620" s="138"/>
      <c r="H1620" s="131"/>
      <c r="I1620" s="132"/>
      <c r="J1620" s="131"/>
      <c r="K1620" s="133"/>
      <c r="L1620" s="134"/>
    </row>
    <row r="1621" spans="3:12" ht="39.950000000000003" customHeight="1">
      <c r="C1621" s="62"/>
      <c r="D1621" s="63" t="s">
        <v>2169</v>
      </c>
      <c r="E1621" s="64"/>
      <c r="F1621" s="65"/>
      <c r="G1621" s="66"/>
      <c r="H1621" s="67">
        <f>SUMPRODUCT(G1430:G1619,H1430:H1619)</f>
        <v>0</v>
      </c>
      <c r="I1621" s="67">
        <f>SUMPRODUCT(G1430:G1619,I1430:I1619)</f>
        <v>0</v>
      </c>
      <c r="J1621" s="67">
        <f>SUMPRODUCT(G1430:G1619,J1430:J1619)</f>
        <v>0</v>
      </c>
      <c r="K1621" s="68"/>
      <c r="L1621" s="69">
        <f>SUM(L1430:L1620)</f>
        <v>0</v>
      </c>
    </row>
    <row r="1622" spans="3:12" s="34" customFormat="1" ht="19.5" thickBot="1">
      <c r="C1622" s="140"/>
      <c r="D1622" s="141"/>
      <c r="E1622" s="142"/>
      <c r="F1622" s="142"/>
      <c r="G1622" s="143"/>
      <c r="H1622" s="144"/>
      <c r="I1622" s="145"/>
      <c r="J1622" s="145"/>
      <c r="K1622" s="144"/>
      <c r="L1622" s="146"/>
    </row>
    <row r="1623" spans="3:12" ht="20.100000000000001" customHeight="1">
      <c r="C1623" s="230"/>
      <c r="D1623" s="226" t="s">
        <v>18</v>
      </c>
      <c r="E1623" s="226"/>
      <c r="F1623" s="226"/>
      <c r="G1623" s="226"/>
      <c r="H1623" s="221">
        <f>SUMPRODUCT(G13:G1621,H13:H1621)</f>
        <v>0</v>
      </c>
      <c r="I1623" s="221">
        <f>SUMPRODUCT(G13:G1621,I13:I1621)</f>
        <v>0</v>
      </c>
      <c r="J1623" s="221">
        <f>SUMPRODUCT(G13:G1621,J13:J1621)</f>
        <v>0</v>
      </c>
      <c r="K1623" s="228"/>
      <c r="L1623" s="221">
        <f>SUM(H1623:K1624)</f>
        <v>0</v>
      </c>
    </row>
    <row r="1624" spans="3:12" ht="43.9" customHeight="1" thickBot="1">
      <c r="C1624" s="231"/>
      <c r="D1624" s="227"/>
      <c r="E1624" s="227"/>
      <c r="F1624" s="227"/>
      <c r="G1624" s="227"/>
      <c r="H1624" s="222"/>
      <c r="I1624" s="222"/>
      <c r="J1624" s="222"/>
      <c r="K1624" s="229"/>
      <c r="L1624" s="222"/>
    </row>
  </sheetData>
  <sheetProtection selectLockedCells="1" selectUnlockedCells="1"/>
  <autoFilter ref="C3:L1624" xr:uid="{80BE4F9E-1936-49EA-87A6-26A759EA1E28}"/>
  <mergeCells count="9">
    <mergeCell ref="C1:D1"/>
    <mergeCell ref="L1623:L1624"/>
    <mergeCell ref="H1623:H1624"/>
    <mergeCell ref="I1623:I1624"/>
    <mergeCell ref="J1623:J1624"/>
    <mergeCell ref="C2:L2"/>
    <mergeCell ref="D1623:G1624"/>
    <mergeCell ref="K1623:K1624"/>
    <mergeCell ref="C1623:C1624"/>
  </mergeCells>
  <phoneticPr fontId="9" type="noConversion"/>
  <pageMargins left="0.25" right="0.25" top="0.75" bottom="0.75" header="0.3" footer="0.3"/>
  <pageSetup paperSize="9" scale="10" firstPageNumber="0" fitToHeight="0" orientation="portrait" horizontalDpi="300" verticalDpi="300" r:id="rId1"/>
  <headerFooter alignWithMargins="0"/>
  <rowBreaks count="5" manualBreakCount="5">
    <brk id="921" min="1" max="102" man="1"/>
    <brk id="1165" min="1" max="102" man="1"/>
    <brk id="1225" min="1" max="102" man="1"/>
    <brk id="1302" min="1" max="102" man="1"/>
    <brk id="1379" min="1" max="102" man="1"/>
  </rowBreaks>
  <ignoredErrors>
    <ignoredError sqref="G991:G992 G994 G997 G1010 G925 G927 G874 G869:G870" unlockedFormula="1"/>
    <ignoredError sqref="C532 C498" numberStoredAsText="1"/>
    <ignoredError sqref="C1351:C1361 C1363:C1371"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2</vt:i4>
      </vt:variant>
    </vt:vector>
  </HeadingPairs>
  <TitlesOfParts>
    <vt:vector size="4" baseType="lpstr">
      <vt:lpstr>İCMAL</vt:lpstr>
      <vt:lpstr>KEŞİF LİSTESİ</vt:lpstr>
      <vt:lpstr>İCMAL!Yazdırma_Alanı</vt:lpstr>
      <vt:lpstr>'KEŞİF LİSTESİ'!Yazdırma_Alanı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B03</dc:creator>
  <cp:lastModifiedBy>parshan f</cp:lastModifiedBy>
  <cp:lastPrinted>2024-06-03T15:00:48Z</cp:lastPrinted>
  <dcterms:created xsi:type="dcterms:W3CDTF">2024-04-05T07:13:10Z</dcterms:created>
  <dcterms:modified xsi:type="dcterms:W3CDTF">2025-09-25T06:15:14Z</dcterms:modified>
</cp:coreProperties>
</file>